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D6F452A459D1C5FF/Desktop/"/>
    </mc:Choice>
  </mc:AlternateContent>
  <xr:revisionPtr revIDLastSave="0" documentId="8_{C8D83E6C-80BD-4A3B-BC09-D536C05D2438}" xr6:coauthVersionLast="47" xr6:coauthVersionMax="47" xr10:uidLastSave="{00000000-0000-0000-0000-000000000000}"/>
  <bookViews>
    <workbookView xWindow="-108" yWindow="-108" windowWidth="23256" windowHeight="12456" tabRatio="813" firstSheet="1" activeTab="1" xr2:uid="{978E2A06-4CD5-4B48-A84B-BAC4C86830F0}"/>
  </bookViews>
  <sheets>
    <sheet name="pivot Report" sheetId="1" r:id="rId1"/>
    <sheet name="Dashboard" sheetId="2" r:id="rId2"/>
    <sheet name="Department Refreal" sheetId="12" r:id="rId3"/>
    <sheet name="NO OF PATIENT AGE GROUP" sheetId="10" r:id="rId4"/>
    <sheet name="Satisfaction Score Daily Trend" sheetId="9" r:id="rId5"/>
    <sheet name="Average Wait Time" sheetId="8" r:id="rId6"/>
    <sheet name="Daily ER No of Patient" sheetId="6" r:id="rId7"/>
  </sheets>
  <definedNames>
    <definedName name="Slicer_Date__Month">#N/A</definedName>
    <definedName name="Slicer_Date__Year">#N/A</definedName>
  </definedNames>
  <calcPr calcId="191029"/>
  <pivotCaches>
    <pivotCache cacheId="47" r:id="rId8"/>
    <pivotCache cacheId="50" r:id="rId9"/>
    <pivotCache cacheId="53" r:id="rId10"/>
    <pivotCache cacheId="56" r:id="rId11"/>
    <pivotCache cacheId="59" r:id="rId12"/>
    <pivotCache cacheId="62" r:id="rId13"/>
    <pivotCache cacheId="65" r:id="rId14"/>
    <pivotCache cacheId="68" r:id="rId15"/>
    <pivotCache cacheId="71" r:id="rId16"/>
    <pivotCache cacheId="74" r:id="rId17"/>
    <pivotCache cacheId="77"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6f1c802-2195-4324-a054-369c6c88c81b" name="Hospital Emergency Room Data" connection="Query - Hospital Emergency Room Data"/>
          <x15:modelTable id="Calendar_Table_a694358b-355c-4a4f-b229-59c8afb25570"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0" i="1" l="1"/>
  <c r="A1" i="2"/>
  <c r="B81" i="1"/>
  <c r="C81" i="1"/>
  <c r="A81" i="1"/>
  <c r="C80" i="1"/>
  <c r="A8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FD3275-AD11-4DCD-BC79-301115C68A31}" name="Query - Calendar_Table" description="Connection to the 'Calendar_Table' query in the workbook." type="100" refreshedVersion="8" minRefreshableVersion="5">
    <extLst>
      <ext xmlns:x15="http://schemas.microsoft.com/office/spreadsheetml/2010/11/main" uri="{DE250136-89BD-433C-8126-D09CA5730AF9}">
        <x15:connection id="053d8780-c79c-4681-9f2f-0877f0b7e9e1"/>
      </ext>
    </extLst>
  </connection>
  <connection id="2" xr16:uid="{544CD5DD-0F2D-4A1E-A210-5FDDE61274E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e7e0b26-941c-4acb-987e-80facb2eabb0"/>
      </ext>
    </extLst>
  </connection>
  <connection id="3" xr16:uid="{5D72A43C-CA54-4A2A-9B51-091E3FE9ECA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<sst xmlns="http://schemas.openxmlformats.org/spreadsheetml/2006/main" count="148" uniqueCount="69">
  <si>
    <t>Distinct Count of Patient Id</t>
  </si>
  <si>
    <t>No.of patient</t>
  </si>
  <si>
    <t>Average of Patient Waittime</t>
  </si>
  <si>
    <t>Average of Patient Satisfaction Score</t>
  </si>
  <si>
    <t>Row Labels</t>
  </si>
  <si>
    <t>Grand Total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</si>
  <si>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</si>
  <si>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</si>
  <si>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</si>
  <si>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</si>
  <si>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</si>
  <si>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</si>
  <si>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</si>
  <si>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</si>
  <si>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</si>
  <si>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</si>
  <si>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</si>
  <si>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</si>
  <si>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</si>
  <si>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</si>
  <si>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</si>
  <si>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</si>
  <si>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</si>
  <si>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</si>
  <si>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</si>
  <si>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</si>
  <si>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</si>
  <si>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</si>
  <si>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</si>
  <si>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</si>
  <si>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</si>
  <si>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</si>
  <si>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</si>
  <si>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</si>
  <si>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</si>
  <si>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</si>
  <si>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</si>
  <si>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no of patient</t>
  </si>
  <si>
    <t>Average wait time</t>
  </si>
  <si>
    <t>satisfaction Score daily trend</t>
  </si>
  <si>
    <t>Count of Patient Admission Flag</t>
  </si>
  <si>
    <t>Admitted</t>
  </si>
  <si>
    <t>Not Admitted</t>
  </si>
  <si>
    <t>Count of Patient Admission Flag2</t>
  </si>
  <si>
    <t>Admission Status</t>
  </si>
  <si>
    <t>%Status</t>
  </si>
  <si>
    <t>Patient</t>
  </si>
  <si>
    <t>0-09</t>
  </si>
  <si>
    <t>10-19</t>
  </si>
  <si>
    <t>20-29</t>
  </si>
  <si>
    <t>30-39</t>
  </si>
  <si>
    <t>40-49</t>
  </si>
  <si>
    <t>50-59</t>
  </si>
  <si>
    <t>60-69</t>
  </si>
  <si>
    <t>70-79</t>
  </si>
  <si>
    <t>Count of Age Group</t>
  </si>
  <si>
    <t>Count of Patient Gender</t>
  </si>
  <si>
    <t>Female</t>
  </si>
  <si>
    <t>Male</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</si>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</sst>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9"/>
      <color theme="1"/>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4"/>
        <bgColor indexed="64"/>
      </patternFill>
    </fill>
    <fill>
      <patternFill patternType="solid">
        <fgColor theme="2"/>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2" fillId="3" borderId="0" xfId="0" applyFont="1" applyFill="1"/>
    <xf numFmtId="0" fontId="2" fillId="5" borderId="0" xfId="0" applyFont="1" applyFill="1"/>
    <xf numFmtId="0" fontId="2" fillId="0" borderId="0" xfId="0" applyFont="1"/>
    <xf numFmtId="0" fontId="2" fillId="4" borderId="0" xfId="0" applyFont="1" applyFill="1"/>
    <xf numFmtId="1" fontId="2" fillId="4" borderId="0" xfId="0" applyNumberFormat="1" applyFont="1" applyFill="1"/>
    <xf numFmtId="9" fontId="2" fillId="4" borderId="0" xfId="1" applyFont="1" applyFill="1"/>
    <xf numFmtId="0" fontId="0" fillId="0" borderId="0" xfId="0" applyNumberFormat="1"/>
  </cellXfs>
  <cellStyles count="2">
    <cellStyle name="Normal" xfId="0" builtinId="0"/>
    <cellStyle name="Percent" xfId="1" builtinId="5"/>
  </cellStyles>
  <dxfs count="41">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3"/>
      </font>
      <fill>
        <patternFill>
          <bgColor theme="3" tint="0.59996337778862885"/>
        </patternFill>
      </fill>
      <border diagonalUp="0" diagonalDown="0">
        <left/>
        <right/>
        <top/>
        <bottom/>
        <vertical/>
        <horizontal/>
      </border>
    </dxf>
  </dxfs>
  <tableStyles count="1" defaultTableStyle="TableStyleMedium2" defaultPivotStyle="PivotStyleLight16">
    <tableStyle name="my style" pivot="0" table="0" count="10" xr9:uid="{0DA528CE-E131-4FC6-A491-54B37FF514EC}">
      <tableStyleElement type="wholeTable" dxfId="40"/>
      <tableStyleElement type="headerRow" dxfId="3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Report!PivotTable2</c:name>
    <c:fmtId val="0"/>
  </c:pivotSource>
  <c:chart>
    <c:autoTitleDeleted val="0"/>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olidFill>
          </a:ln>
          <a:effectLst/>
        </c:spPr>
      </c:pivotFmt>
      <c:pivotFmt>
        <c:idx val="3"/>
        <c:spPr>
          <a:solidFill>
            <a:schemeClr val="accent1"/>
          </a:solidFill>
          <a:ln>
            <a:solidFill>
              <a:schemeClr val="accent1"/>
            </a:solidFill>
          </a:ln>
          <a:effectLst/>
        </c:spPr>
      </c:pivotFmt>
    </c:pivotFmts>
    <c:plotArea>
      <c:layout/>
      <c:barChart>
        <c:barDir val="bar"/>
        <c:grouping val="clustered"/>
        <c:varyColors val="0"/>
        <c:ser>
          <c:idx val="0"/>
          <c:order val="0"/>
          <c:tx>
            <c:strRef>
              <c:f>'pivot Report'!$B$71</c:f>
              <c:strCache>
                <c:ptCount val="1"/>
                <c:pt idx="0">
                  <c:v>Count of Patient Admission Flag</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Report'!$A$72:$A$74</c:f>
              <c:strCache>
                <c:ptCount val="2"/>
                <c:pt idx="0">
                  <c:v>Admitted</c:v>
                </c:pt>
                <c:pt idx="1">
                  <c:v>Not Admitted</c:v>
                </c:pt>
              </c:strCache>
            </c:strRef>
          </c:cat>
          <c:val>
            <c:numRef>
              <c:f>'pivot Report'!$B$72:$B$74</c:f>
              <c:numCache>
                <c:formatCode>0</c:formatCode>
                <c:ptCount val="2"/>
                <c:pt idx="0">
                  <c:v>269</c:v>
                </c:pt>
                <c:pt idx="1">
                  <c:v>244</c:v>
                </c:pt>
              </c:numCache>
            </c:numRef>
          </c:val>
          <c:extLst>
            <c:ext xmlns:c16="http://schemas.microsoft.com/office/drawing/2014/chart" uri="{C3380CC4-5D6E-409C-BE32-E72D297353CC}">
              <c16:uniqueId val="{00000000-C594-4A56-BEFF-BA682DC26AF0}"/>
            </c:ext>
          </c:extLst>
        </c:ser>
        <c:ser>
          <c:idx val="1"/>
          <c:order val="1"/>
          <c:tx>
            <c:strRef>
              <c:f>'pivot Report'!$C$71</c:f>
              <c:strCache>
                <c:ptCount val="1"/>
                <c:pt idx="0">
                  <c:v>Count of Patient Admission Flag2</c:v>
                </c:pt>
              </c:strCache>
            </c:strRef>
          </c:tx>
          <c:spPr>
            <a:solidFill>
              <a:schemeClr val="accent2"/>
            </a:solidFill>
            <a:ln>
              <a:noFill/>
            </a:ln>
            <a:effectLst/>
          </c:spPr>
          <c:invertIfNegative val="0"/>
          <c:cat>
            <c:strRef>
              <c:f>'pivot Report'!$A$72:$A$74</c:f>
              <c:strCache>
                <c:ptCount val="2"/>
                <c:pt idx="0">
                  <c:v>Admitted</c:v>
                </c:pt>
                <c:pt idx="1">
                  <c:v>Not Admitted</c:v>
                </c:pt>
              </c:strCache>
            </c:strRef>
          </c:cat>
          <c:val>
            <c:numRef>
              <c:f>'pivot Report'!$C$72:$C$74</c:f>
              <c:numCache>
                <c:formatCode>0.00%</c:formatCode>
                <c:ptCount val="2"/>
                <c:pt idx="0">
                  <c:v>0.52436647173489281</c:v>
                </c:pt>
                <c:pt idx="1">
                  <c:v>0.47563352826510719</c:v>
                </c:pt>
              </c:numCache>
            </c:numRef>
          </c:val>
          <c:extLst>
            <c:ext xmlns:c16="http://schemas.microsoft.com/office/drawing/2014/chart" uri="{C3380CC4-5D6E-409C-BE32-E72D297353CC}">
              <c16:uniqueId val="{00000001-C594-4A56-BEFF-BA682DC26AF0}"/>
            </c:ext>
          </c:extLst>
        </c:ser>
        <c:dLbls>
          <c:showLegendKey val="0"/>
          <c:showVal val="0"/>
          <c:showCatName val="0"/>
          <c:showSerName val="0"/>
          <c:showPercent val="0"/>
          <c:showBubbleSize val="0"/>
        </c:dLbls>
        <c:gapWidth val="0"/>
        <c:axId val="816475263"/>
        <c:axId val="816471903"/>
      </c:barChart>
      <c:catAx>
        <c:axId val="816475263"/>
        <c:scaling>
          <c:orientation val="minMax"/>
        </c:scaling>
        <c:delete val="1"/>
        <c:axPos val="l"/>
        <c:numFmt formatCode="General" sourceLinked="1"/>
        <c:majorTickMark val="none"/>
        <c:minorTickMark val="none"/>
        <c:tickLblPos val="nextTo"/>
        <c:crossAx val="816471903"/>
        <c:crosses val="autoZero"/>
        <c:auto val="1"/>
        <c:lblAlgn val="ctr"/>
        <c:lblOffset val="100"/>
        <c:noMultiLvlLbl val="0"/>
      </c:catAx>
      <c:valAx>
        <c:axId val="816471903"/>
        <c:scaling>
          <c:orientation val="minMax"/>
        </c:scaling>
        <c:delete val="1"/>
        <c:axPos val="b"/>
        <c:numFmt formatCode="0" sourceLinked="1"/>
        <c:majorTickMark val="none"/>
        <c:minorTickMark val="none"/>
        <c:tickLblPos val="nextTo"/>
        <c:crossAx val="8164752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2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Report'!$B$5:$B$36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Report'!$C$5:$C$36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C875-400F-AAF2-D81255C8BC6B}"/>
            </c:ext>
          </c:extLst>
        </c:ser>
        <c:dLbls>
          <c:showLegendKey val="0"/>
          <c:showVal val="0"/>
          <c:showCatName val="0"/>
          <c:showSerName val="0"/>
          <c:showPercent val="0"/>
          <c:showBubbleSize val="0"/>
        </c:dLbls>
        <c:axId val="378362592"/>
        <c:axId val="378361152"/>
      </c:areaChart>
      <c:catAx>
        <c:axId val="378362592"/>
        <c:scaling>
          <c:orientation val="minMax"/>
        </c:scaling>
        <c:delete val="1"/>
        <c:axPos val="b"/>
        <c:numFmt formatCode="General" sourceLinked="1"/>
        <c:majorTickMark val="out"/>
        <c:minorTickMark val="none"/>
        <c:tickLblPos val="nextTo"/>
        <c:crossAx val="378361152"/>
        <c:crosses val="autoZero"/>
        <c:auto val="1"/>
        <c:lblAlgn val="ctr"/>
        <c:lblOffset val="100"/>
        <c:noMultiLvlLbl val="0"/>
      </c:catAx>
      <c:valAx>
        <c:axId val="378361152"/>
        <c:scaling>
          <c:orientation val="minMax"/>
        </c:scaling>
        <c:delete val="1"/>
        <c:axPos val="l"/>
        <c:numFmt formatCode="General" sourceLinked="1"/>
        <c:majorTickMark val="none"/>
        <c:minorTickMark val="none"/>
        <c:tickLblPos val="nextTo"/>
        <c:crossAx val="378362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9448441247004"/>
          <c:y val="0.31531531531531531"/>
          <c:w val="0.73621103117505993"/>
          <c:h val="0.50450450450450446"/>
        </c:manualLayout>
      </c:layout>
      <c:areaChart>
        <c:grouping val="standard"/>
        <c:varyColors val="0"/>
        <c:ser>
          <c:idx val="0"/>
          <c:order val="0"/>
          <c:tx>
            <c:strRef>
              <c:f>'pivot Report'!$H$36</c:f>
              <c:strCache>
                <c:ptCount val="1"/>
                <c:pt idx="0">
                  <c:v>Total</c:v>
                </c:pt>
              </c:strCache>
            </c:strRef>
          </c:tx>
          <c:spPr>
            <a:solidFill>
              <a:schemeClr val="accent1"/>
            </a:solidFill>
            <a:ln w="25400">
              <a:noFill/>
            </a:ln>
            <a:effectLst/>
          </c:spPr>
          <c:cat>
            <c:strRef>
              <c:f>'pivot Report'!$G$37:$G$68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Report'!$H$37:$H$68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9F8C-4DEB-B743-45D8EBB78F24}"/>
            </c:ext>
          </c:extLst>
        </c:ser>
        <c:dLbls>
          <c:showLegendKey val="0"/>
          <c:showVal val="0"/>
          <c:showCatName val="0"/>
          <c:showSerName val="0"/>
          <c:showPercent val="0"/>
          <c:showBubbleSize val="0"/>
        </c:dLbls>
        <c:axId val="2126995712"/>
        <c:axId val="2126996672"/>
      </c:areaChart>
      <c:catAx>
        <c:axId val="2126995712"/>
        <c:scaling>
          <c:orientation val="minMax"/>
        </c:scaling>
        <c:delete val="1"/>
        <c:axPos val="b"/>
        <c:numFmt formatCode="General" sourceLinked="1"/>
        <c:majorTickMark val="out"/>
        <c:minorTickMark val="none"/>
        <c:tickLblPos val="nextTo"/>
        <c:crossAx val="2126996672"/>
        <c:crosses val="autoZero"/>
        <c:auto val="1"/>
        <c:lblAlgn val="ctr"/>
        <c:lblOffset val="100"/>
        <c:noMultiLvlLbl val="0"/>
      </c:catAx>
      <c:valAx>
        <c:axId val="2126996672"/>
        <c:scaling>
          <c:orientation val="minMax"/>
        </c:scaling>
        <c:delete val="1"/>
        <c:axPos val="l"/>
        <c:numFmt formatCode="0.00" sourceLinked="1"/>
        <c:majorTickMark val="none"/>
        <c:minorTickMark val="none"/>
        <c:tickLblPos val="nextTo"/>
        <c:crossAx val="2126995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18390804597707E-2"/>
          <c:y val="0.20370370370370369"/>
          <c:w val="0.87356321839080464"/>
          <c:h val="0.59259259259259256"/>
        </c:manualLayout>
      </c:layout>
      <c:areaChart>
        <c:grouping val="standard"/>
        <c:varyColors val="0"/>
        <c:ser>
          <c:idx val="0"/>
          <c:order val="0"/>
          <c:tx>
            <c:strRef>
              <c:f>'pivot Report'!$K$36</c:f>
              <c:strCache>
                <c:ptCount val="1"/>
                <c:pt idx="0">
                  <c:v>Total</c:v>
                </c:pt>
              </c:strCache>
            </c:strRef>
          </c:tx>
          <c:spPr>
            <a:solidFill>
              <a:schemeClr val="accent1"/>
            </a:solidFill>
            <a:ln w="25400">
              <a:noFill/>
            </a:ln>
            <a:effectLst/>
          </c:spPr>
          <c:cat>
            <c:strRef>
              <c:f>'pivot Report'!$J$37:$J$68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Report'!$K$37:$K$68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E45-456A-91B3-95A441AC222E}"/>
            </c:ext>
          </c:extLst>
        </c:ser>
        <c:dLbls>
          <c:showLegendKey val="0"/>
          <c:showVal val="0"/>
          <c:showCatName val="0"/>
          <c:showSerName val="0"/>
          <c:showPercent val="0"/>
          <c:showBubbleSize val="0"/>
        </c:dLbls>
        <c:axId val="378450432"/>
        <c:axId val="378455712"/>
      </c:areaChart>
      <c:catAx>
        <c:axId val="378450432"/>
        <c:scaling>
          <c:orientation val="minMax"/>
        </c:scaling>
        <c:delete val="1"/>
        <c:axPos val="b"/>
        <c:numFmt formatCode="General" sourceLinked="1"/>
        <c:majorTickMark val="out"/>
        <c:minorTickMark val="none"/>
        <c:tickLblPos val="nextTo"/>
        <c:crossAx val="378455712"/>
        <c:crosses val="autoZero"/>
        <c:auto val="1"/>
        <c:lblAlgn val="ctr"/>
        <c:lblOffset val="100"/>
        <c:noMultiLvlLbl val="0"/>
      </c:catAx>
      <c:valAx>
        <c:axId val="378455712"/>
        <c:scaling>
          <c:orientation val="minMax"/>
        </c:scaling>
        <c:delete val="1"/>
        <c:axPos val="l"/>
        <c:numFmt formatCode="0.00" sourceLinked="1"/>
        <c:majorTickMark val="none"/>
        <c:minorTickMark val="none"/>
        <c:tickLblPos val="nextTo"/>
        <c:crossAx val="378450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Report'!$B$86</c:f>
              <c:strCache>
                <c:ptCount val="1"/>
                <c:pt idx="0">
                  <c:v>Total</c:v>
                </c:pt>
              </c:strCache>
            </c:strRef>
          </c:tx>
          <c:spPr>
            <a:solidFill>
              <a:schemeClr val="accent1"/>
            </a:solidFill>
            <a:ln>
              <a:noFill/>
            </a:ln>
            <a:effectLst/>
          </c:spPr>
          <c:invertIfNegative val="0"/>
          <c:cat>
            <c:strRef>
              <c:f>'pivot Report'!$A$87:$A$95</c:f>
              <c:strCache>
                <c:ptCount val="8"/>
                <c:pt idx="0">
                  <c:v>0-09</c:v>
                </c:pt>
                <c:pt idx="1">
                  <c:v>10-19</c:v>
                </c:pt>
                <c:pt idx="2">
                  <c:v>20-29</c:v>
                </c:pt>
                <c:pt idx="3">
                  <c:v>30-39</c:v>
                </c:pt>
                <c:pt idx="4">
                  <c:v>40-49</c:v>
                </c:pt>
                <c:pt idx="5">
                  <c:v>50-59</c:v>
                </c:pt>
                <c:pt idx="6">
                  <c:v>60-69</c:v>
                </c:pt>
                <c:pt idx="7">
                  <c:v>70-79</c:v>
                </c:pt>
              </c:strCache>
            </c:strRef>
          </c:cat>
          <c:val>
            <c:numRef>
              <c:f>'pivot Report'!$B$87:$B$95</c:f>
              <c:numCache>
                <c:formatCode>0.00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B110-4F1C-8140-6711528C2238}"/>
            </c:ext>
          </c:extLst>
        </c:ser>
        <c:dLbls>
          <c:showLegendKey val="0"/>
          <c:showVal val="0"/>
          <c:showCatName val="0"/>
          <c:showSerName val="0"/>
          <c:showPercent val="0"/>
          <c:showBubbleSize val="0"/>
        </c:dLbls>
        <c:gapWidth val="219"/>
        <c:overlap val="-27"/>
        <c:axId val="2082644239"/>
        <c:axId val="2082647119"/>
      </c:barChart>
      <c:catAx>
        <c:axId val="208264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647119"/>
        <c:crosses val="autoZero"/>
        <c:auto val="1"/>
        <c:lblAlgn val="ctr"/>
        <c:lblOffset val="100"/>
        <c:noMultiLvlLbl val="0"/>
      </c:catAx>
      <c:valAx>
        <c:axId val="2082647119"/>
        <c:scaling>
          <c:orientation val="minMax"/>
        </c:scaling>
        <c:delete val="1"/>
        <c:axPos val="l"/>
        <c:numFmt formatCode="0.00" sourceLinked="1"/>
        <c:majorTickMark val="none"/>
        <c:minorTickMark val="none"/>
        <c:tickLblPos val="nextTo"/>
        <c:crossAx val="208264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1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624213639961672"/>
          <c:y val="0.21573131671794038"/>
          <c:w val="0.72327000791567719"/>
          <c:h val="0.78426868328205968"/>
        </c:manualLayout>
      </c:layout>
      <c:pieChart>
        <c:varyColors val="1"/>
        <c:ser>
          <c:idx val="0"/>
          <c:order val="0"/>
          <c:tx>
            <c:strRef>
              <c:f>'pivot Report'!$B$102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Report'!$A$103:$A$105</c:f>
              <c:strCache>
                <c:ptCount val="2"/>
                <c:pt idx="0">
                  <c:v>Female</c:v>
                </c:pt>
                <c:pt idx="1">
                  <c:v>Male</c:v>
                </c:pt>
              </c:strCache>
            </c:strRef>
          </c:cat>
          <c:val>
            <c:numRef>
              <c:f>'pivot Report'!$B$103:$B$105</c:f>
              <c:numCache>
                <c:formatCode>0</c:formatCode>
                <c:ptCount val="2"/>
                <c:pt idx="0">
                  <c:v>241</c:v>
                </c:pt>
                <c:pt idx="1">
                  <c:v>272</c:v>
                </c:pt>
              </c:numCache>
            </c:numRef>
          </c:val>
          <c:extLst>
            <c:ext xmlns:c16="http://schemas.microsoft.com/office/drawing/2014/chart" uri="{C3380CC4-5D6E-409C-BE32-E72D297353CC}">
              <c16:uniqueId val="{00000004-23AA-4AA7-96EF-395A76CC977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649627129942089E-2"/>
          <c:y val="3.7476791304701364E-2"/>
          <c:w val="0.31131539382819867"/>
          <c:h val="0.2650985251209080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1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499454543490704"/>
          <c:y val="0.39753402917658548"/>
          <c:w val="0.40735855671470667"/>
          <c:h val="0.5970281492591204"/>
        </c:manualLayout>
      </c:layout>
      <c:doughnutChart>
        <c:varyColors val="1"/>
        <c:ser>
          <c:idx val="0"/>
          <c:order val="0"/>
          <c:tx>
            <c:strRef>
              <c:f>'pivot Report'!$B$102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Report'!$A$103:$A$105</c:f>
              <c:strCache>
                <c:ptCount val="2"/>
                <c:pt idx="0">
                  <c:v>Female</c:v>
                </c:pt>
                <c:pt idx="1">
                  <c:v>Male</c:v>
                </c:pt>
              </c:strCache>
            </c:strRef>
          </c:cat>
          <c:val>
            <c:numRef>
              <c:f>'pivot Report'!$B$103:$B$105</c:f>
              <c:numCache>
                <c:formatCode>0</c:formatCode>
                <c:ptCount val="2"/>
                <c:pt idx="0">
                  <c:v>241</c:v>
                </c:pt>
                <c:pt idx="1">
                  <c:v>272</c:v>
                </c:pt>
              </c:numCache>
            </c:numRef>
          </c:val>
          <c:extLst>
            <c:ext xmlns:c16="http://schemas.microsoft.com/office/drawing/2014/chart" uri="{C3380CC4-5D6E-409C-BE32-E72D297353CC}">
              <c16:uniqueId val="{00000004-2591-4193-977F-5D463331080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4.3758455371225892E-2"/>
          <c:y val="2.8355934674832339E-2"/>
          <c:w val="0.23611570158668438"/>
          <c:h val="0.2241775010681804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70101763595331"/>
          <c:y val="8.4388185654008435E-2"/>
          <c:w val="0.56155239367008947"/>
          <c:h val="0.81434599156118148"/>
        </c:manualLayout>
      </c:layout>
      <c:barChart>
        <c:barDir val="bar"/>
        <c:grouping val="clustered"/>
        <c:varyColors val="0"/>
        <c:ser>
          <c:idx val="0"/>
          <c:order val="0"/>
          <c:tx>
            <c:strRef>
              <c:f>'pivot Report'!$C$109</c:f>
              <c:strCache>
                <c:ptCount val="1"/>
                <c:pt idx="0">
                  <c:v>Total</c:v>
                </c:pt>
              </c:strCache>
            </c:strRef>
          </c:tx>
          <c:spPr>
            <a:solidFill>
              <a:schemeClr val="accent1"/>
            </a:solidFill>
            <a:ln>
              <a:noFill/>
            </a:ln>
            <a:effectLst/>
          </c:spPr>
          <c:invertIfNegative val="0"/>
          <c:cat>
            <c:strRef>
              <c:f>'pivot Report'!$B$110:$B$118</c:f>
              <c:strCache>
                <c:ptCount val="8"/>
                <c:pt idx="0">
                  <c:v>None</c:v>
                </c:pt>
                <c:pt idx="1">
                  <c:v>General Practice</c:v>
                </c:pt>
                <c:pt idx="2">
                  <c:v>Orthopedics</c:v>
                </c:pt>
                <c:pt idx="3">
                  <c:v>Physiotherapy</c:v>
                </c:pt>
                <c:pt idx="4">
                  <c:v>Cardiology</c:v>
                </c:pt>
                <c:pt idx="5">
                  <c:v>Neurology</c:v>
                </c:pt>
                <c:pt idx="6">
                  <c:v>Renal</c:v>
                </c:pt>
                <c:pt idx="7">
                  <c:v>Gastroenterology</c:v>
                </c:pt>
              </c:strCache>
            </c:strRef>
          </c:cat>
          <c:val>
            <c:numRef>
              <c:f>'pivot Report'!$C$110:$C$118</c:f>
              <c:numCache>
                <c:formatCode>0.00</c:formatCode>
                <c:ptCount val="8"/>
                <c:pt idx="0">
                  <c:v>299</c:v>
                </c:pt>
                <c:pt idx="1">
                  <c:v>103</c:v>
                </c:pt>
                <c:pt idx="2">
                  <c:v>65</c:v>
                </c:pt>
                <c:pt idx="3">
                  <c:v>14</c:v>
                </c:pt>
                <c:pt idx="4">
                  <c:v>14</c:v>
                </c:pt>
                <c:pt idx="5">
                  <c:v>9</c:v>
                </c:pt>
                <c:pt idx="6">
                  <c:v>5</c:v>
                </c:pt>
                <c:pt idx="7">
                  <c:v>4</c:v>
                </c:pt>
              </c:numCache>
            </c:numRef>
          </c:val>
          <c:extLst>
            <c:ext xmlns:c16="http://schemas.microsoft.com/office/drawing/2014/chart" uri="{C3380CC4-5D6E-409C-BE32-E72D297353CC}">
              <c16:uniqueId val="{00000000-A0EF-467B-83F2-56D44AEEF350}"/>
            </c:ext>
          </c:extLst>
        </c:ser>
        <c:dLbls>
          <c:showLegendKey val="0"/>
          <c:showVal val="0"/>
          <c:showCatName val="0"/>
          <c:showSerName val="0"/>
          <c:showPercent val="0"/>
          <c:showBubbleSize val="0"/>
        </c:dLbls>
        <c:gapWidth val="182"/>
        <c:axId val="195516416"/>
        <c:axId val="195517376"/>
      </c:barChart>
      <c:catAx>
        <c:axId val="19551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17376"/>
        <c:crosses val="autoZero"/>
        <c:auto val="1"/>
        <c:lblAlgn val="ctr"/>
        <c:lblOffset val="100"/>
        <c:noMultiLvlLbl val="0"/>
      </c:catAx>
      <c:valAx>
        <c:axId val="195517376"/>
        <c:scaling>
          <c:orientation val="minMax"/>
        </c:scaling>
        <c:delete val="1"/>
        <c:axPos val="b"/>
        <c:numFmt formatCode="0.00" sourceLinked="1"/>
        <c:majorTickMark val="none"/>
        <c:minorTickMark val="none"/>
        <c:tickLblPos val="nextTo"/>
        <c:crossAx val="19551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2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Report'!$C$109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Report'!$B$110:$B$118</c:f>
              <c:strCache>
                <c:ptCount val="8"/>
                <c:pt idx="0">
                  <c:v>None</c:v>
                </c:pt>
                <c:pt idx="1">
                  <c:v>General Practice</c:v>
                </c:pt>
                <c:pt idx="2">
                  <c:v>Orthopedics</c:v>
                </c:pt>
                <c:pt idx="3">
                  <c:v>Physiotherapy</c:v>
                </c:pt>
                <c:pt idx="4">
                  <c:v>Cardiology</c:v>
                </c:pt>
                <c:pt idx="5">
                  <c:v>Neurology</c:v>
                </c:pt>
                <c:pt idx="6">
                  <c:v>Renal</c:v>
                </c:pt>
                <c:pt idx="7">
                  <c:v>Gastroenterology</c:v>
                </c:pt>
              </c:strCache>
            </c:strRef>
          </c:cat>
          <c:val>
            <c:numRef>
              <c:f>'pivot Report'!$C$110:$C$118</c:f>
              <c:numCache>
                <c:formatCode>0.00</c:formatCode>
                <c:ptCount val="8"/>
                <c:pt idx="0">
                  <c:v>299</c:v>
                </c:pt>
                <c:pt idx="1">
                  <c:v>103</c:v>
                </c:pt>
                <c:pt idx="2">
                  <c:v>65</c:v>
                </c:pt>
                <c:pt idx="3">
                  <c:v>14</c:v>
                </c:pt>
                <c:pt idx="4">
                  <c:v>14</c:v>
                </c:pt>
                <c:pt idx="5">
                  <c:v>9</c:v>
                </c:pt>
                <c:pt idx="6">
                  <c:v>5</c:v>
                </c:pt>
                <c:pt idx="7">
                  <c:v>4</c:v>
                </c:pt>
              </c:numCache>
            </c:numRef>
          </c:val>
          <c:extLst>
            <c:ext xmlns:c16="http://schemas.microsoft.com/office/drawing/2014/chart" uri="{C3380CC4-5D6E-409C-BE32-E72D297353CC}">
              <c16:uniqueId val="{00000000-DC3A-4022-8449-CF498CACF41F}"/>
            </c:ext>
          </c:extLst>
        </c:ser>
        <c:dLbls>
          <c:showLegendKey val="0"/>
          <c:showVal val="0"/>
          <c:showCatName val="0"/>
          <c:showSerName val="0"/>
          <c:showPercent val="0"/>
          <c:showBubbleSize val="0"/>
        </c:dLbls>
        <c:gapWidth val="115"/>
        <c:overlap val="-20"/>
        <c:axId val="195516416"/>
        <c:axId val="195517376"/>
      </c:barChart>
      <c:catAx>
        <c:axId val="1955164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17376"/>
        <c:crosses val="autoZero"/>
        <c:auto val="1"/>
        <c:lblAlgn val="ctr"/>
        <c:lblOffset val="100"/>
        <c:noMultiLvlLbl val="0"/>
      </c:catAx>
      <c:valAx>
        <c:axId val="19551737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51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537865235539652E-2"/>
          <c:y val="8.3912037037037035E-2"/>
          <c:w val="0.92546213476446038"/>
          <c:h val="0.86343093832021012"/>
        </c:manualLayout>
      </c:layout>
      <c:barChart>
        <c:barDir val="col"/>
        <c:grouping val="clustered"/>
        <c:varyColors val="0"/>
        <c:ser>
          <c:idx val="0"/>
          <c:order val="0"/>
          <c:tx>
            <c:strRef>
              <c:f>'pivot Report'!$B$86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Report'!$A$87:$A$95</c:f>
              <c:strCache>
                <c:ptCount val="8"/>
                <c:pt idx="0">
                  <c:v>0-09</c:v>
                </c:pt>
                <c:pt idx="1">
                  <c:v>10-19</c:v>
                </c:pt>
                <c:pt idx="2">
                  <c:v>20-29</c:v>
                </c:pt>
                <c:pt idx="3">
                  <c:v>30-39</c:v>
                </c:pt>
                <c:pt idx="4">
                  <c:v>40-49</c:v>
                </c:pt>
                <c:pt idx="5">
                  <c:v>50-59</c:v>
                </c:pt>
                <c:pt idx="6">
                  <c:v>60-69</c:v>
                </c:pt>
                <c:pt idx="7">
                  <c:v>70-79</c:v>
                </c:pt>
              </c:strCache>
            </c:strRef>
          </c:cat>
          <c:val>
            <c:numRef>
              <c:f>'pivot Report'!$B$87:$B$95</c:f>
              <c:numCache>
                <c:formatCode>0.00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C3E9-453B-AD6E-1286CF905239}"/>
            </c:ext>
          </c:extLst>
        </c:ser>
        <c:dLbls>
          <c:dLblPos val="inEnd"/>
          <c:showLegendKey val="0"/>
          <c:showVal val="1"/>
          <c:showCatName val="0"/>
          <c:showSerName val="0"/>
          <c:showPercent val="0"/>
          <c:showBubbleSize val="0"/>
        </c:dLbls>
        <c:gapWidth val="65"/>
        <c:axId val="2082644239"/>
        <c:axId val="2082647119"/>
      </c:barChart>
      <c:catAx>
        <c:axId val="20826442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2647119"/>
        <c:crosses val="autoZero"/>
        <c:auto val="1"/>
        <c:lblAlgn val="ctr"/>
        <c:lblOffset val="100"/>
        <c:noMultiLvlLbl val="0"/>
      </c:catAx>
      <c:valAx>
        <c:axId val="20826471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8264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3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18390804597707E-2"/>
          <c:y val="0.20370370370370369"/>
          <c:w val="0.87356321839080464"/>
          <c:h val="0.59259259259259256"/>
        </c:manualLayout>
      </c:layout>
      <c:areaChart>
        <c:grouping val="standard"/>
        <c:varyColors val="0"/>
        <c:ser>
          <c:idx val="0"/>
          <c:order val="0"/>
          <c:tx>
            <c:strRef>
              <c:f>'pivot Report'!$K$36</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 Report'!$J$37:$J$68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Report'!$K$37:$K$68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B694-40CA-8E05-EAD2829E68D9}"/>
            </c:ext>
          </c:extLst>
        </c:ser>
        <c:dLbls>
          <c:showLegendKey val="0"/>
          <c:showVal val="0"/>
          <c:showCatName val="0"/>
          <c:showSerName val="0"/>
          <c:showPercent val="0"/>
          <c:showBubbleSize val="0"/>
        </c:dLbls>
        <c:axId val="378450432"/>
        <c:axId val="378455712"/>
      </c:areaChart>
      <c:catAx>
        <c:axId val="378450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8455712"/>
        <c:crosses val="autoZero"/>
        <c:auto val="1"/>
        <c:lblAlgn val="ctr"/>
        <c:lblOffset val="100"/>
        <c:noMultiLvlLbl val="0"/>
      </c:catAx>
      <c:valAx>
        <c:axId val="3784557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8450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9448441247004"/>
          <c:y val="0.31531531531531531"/>
          <c:w val="0.73621103117505993"/>
          <c:h val="0.50450450450450446"/>
        </c:manualLayout>
      </c:layout>
      <c:areaChart>
        <c:grouping val="standard"/>
        <c:varyColors val="0"/>
        <c:ser>
          <c:idx val="0"/>
          <c:order val="0"/>
          <c:tx>
            <c:strRef>
              <c:f>'pivot Report'!$H$36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Report'!$G$37:$G$68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Report'!$H$37:$H$68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3E8D-4B85-8B62-11B0059AD91C}"/>
            </c:ext>
          </c:extLst>
        </c:ser>
        <c:dLbls>
          <c:showLegendKey val="0"/>
          <c:showVal val="0"/>
          <c:showCatName val="0"/>
          <c:showSerName val="0"/>
          <c:showPercent val="0"/>
          <c:showBubbleSize val="0"/>
        </c:dLbls>
        <c:axId val="2126995712"/>
        <c:axId val="2126996672"/>
      </c:areaChart>
      <c:catAx>
        <c:axId val="21269957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6996672"/>
        <c:crosses val="autoZero"/>
        <c:auto val="1"/>
        <c:lblAlgn val="ctr"/>
        <c:lblOffset val="100"/>
        <c:noMultiLvlLbl val="0"/>
      </c:catAx>
      <c:valAx>
        <c:axId val="212699667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6995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Report'!$B$5:$B$36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Report'!$C$5:$C$36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0699-4813-B003-C838206EA9A2}"/>
            </c:ext>
          </c:extLst>
        </c:ser>
        <c:dLbls>
          <c:showLegendKey val="0"/>
          <c:showVal val="0"/>
          <c:showCatName val="0"/>
          <c:showSerName val="0"/>
          <c:showPercent val="0"/>
          <c:showBubbleSize val="0"/>
        </c:dLbls>
        <c:axId val="378362592"/>
        <c:axId val="378361152"/>
      </c:areaChart>
      <c:catAx>
        <c:axId val="37836259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8361152"/>
        <c:crosses val="autoZero"/>
        <c:auto val="1"/>
        <c:lblAlgn val="ctr"/>
        <c:lblOffset val="100"/>
        <c:noMultiLvlLbl val="0"/>
      </c:catAx>
      <c:valAx>
        <c:axId val="378361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8362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action Score Daily Trend'!A1"/><Relationship Id="rId1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20" Type="http://schemas.openxmlformats.org/officeDocument/2006/relationships/chart" Target="../charts/chart8.xml"/><Relationship Id="rId1" Type="http://schemas.openxmlformats.org/officeDocument/2006/relationships/hyperlink" Target="#'NO OF PATIENT AGE GROUP'!A1"/><Relationship Id="rId6" Type="http://schemas.openxmlformats.org/officeDocument/2006/relationships/image" Target="../media/image5.svg"/><Relationship Id="rId11" Type="http://schemas.openxmlformats.org/officeDocument/2006/relationships/hyperlink" Target="#'Average Wait Time'!A1"/><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2.xml"/><Relationship Id="rId19" Type="http://schemas.openxmlformats.org/officeDocument/2006/relationships/hyperlink" Target="#'Department Refreal'!A1"/><Relationship Id="rId4" Type="http://schemas.openxmlformats.org/officeDocument/2006/relationships/image" Target="../media/image3.svg"/><Relationship Id="rId9" Type="http://schemas.openxmlformats.org/officeDocument/2006/relationships/hyperlink" Target="#'Daily ER No of 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5.svg"/></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6.svg"/></Relationships>
</file>

<file path=xl/drawings/_rels/drawing8.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8.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0</xdr:colOff>
      <xdr:row>78</xdr:row>
      <xdr:rowOff>45720</xdr:rowOff>
    </xdr:from>
    <xdr:to>
      <xdr:col>3</xdr:col>
      <xdr:colOff>1737360</xdr:colOff>
      <xdr:row>81</xdr:row>
      <xdr:rowOff>83820</xdr:rowOff>
    </xdr:to>
    <xdr:graphicFrame macro="">
      <xdr:nvGraphicFramePr>
        <xdr:cNvPr id="2" name="Chart 1">
          <a:extLst>
            <a:ext uri="{FF2B5EF4-FFF2-40B4-BE49-F238E27FC236}">
              <a16:creationId xmlns:a16="http://schemas.microsoft.com/office/drawing/2014/main" id="{43171568-33EB-8BCB-2C07-2BAB268C1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1546860</xdr:colOff>
      <xdr:row>121</xdr:row>
      <xdr:rowOff>7620</xdr:rowOff>
    </xdr:from>
    <xdr:to>
      <xdr:col>3</xdr:col>
      <xdr:colOff>1737360</xdr:colOff>
      <xdr:row>134</xdr:row>
      <xdr:rowOff>97155</xdr:rowOff>
    </xdr:to>
    <mc:AlternateContent xmlns:mc="http://schemas.openxmlformats.org/markup-compatibility/2006" xmlns:a14="http://schemas.microsoft.com/office/drawing/2010/main">
      <mc:Choice Requires="a14">
        <xdr:graphicFrame macro="">
          <xdr:nvGraphicFramePr>
            <xdr:cNvPr id="9" name="Date (Year)">
              <a:extLst>
                <a:ext uri="{FF2B5EF4-FFF2-40B4-BE49-F238E27FC236}">
                  <a16:creationId xmlns:a16="http://schemas.microsoft.com/office/drawing/2014/main" id="{66BF802F-5529-45AD-0383-69BA83C7D05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32960" y="22044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76200</xdr:colOff>
      <xdr:row>0</xdr:row>
      <xdr:rowOff>91440</xdr:rowOff>
    </xdr:from>
    <xdr:to>
      <xdr:col>6</xdr:col>
      <xdr:colOff>358140</xdr:colOff>
      <xdr:row>4</xdr:row>
      <xdr:rowOff>137160</xdr:rowOff>
    </xdr:to>
    <xdr:sp macro="" textlink="">
      <xdr:nvSpPr>
        <xdr:cNvPr id="2" name="Rectangle: Rounded Corners 1">
          <a:extLst>
            <a:ext uri="{FF2B5EF4-FFF2-40B4-BE49-F238E27FC236}">
              <a16:creationId xmlns:a16="http://schemas.microsoft.com/office/drawing/2014/main" id="{893EF3D3-7F91-74C0-1977-C0328DE68D4C}"/>
            </a:ext>
          </a:extLst>
        </xdr:cNvPr>
        <xdr:cNvSpPr/>
      </xdr:nvSpPr>
      <xdr:spPr>
        <a:xfrm>
          <a:off x="76200" y="91440"/>
          <a:ext cx="3939540" cy="777240"/>
        </a:xfrm>
        <a:prstGeom prst="roundRect">
          <a:avLst>
            <a:gd name="adj" fmla="val 20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533400</xdr:colOff>
      <xdr:row>0</xdr:row>
      <xdr:rowOff>121920</xdr:rowOff>
    </xdr:from>
    <xdr:to>
      <xdr:col>9</xdr:col>
      <xdr:colOff>358140</xdr:colOff>
      <xdr:row>4</xdr:row>
      <xdr:rowOff>167640</xdr:rowOff>
    </xdr:to>
    <xdr:sp macro="" textlink="">
      <xdr:nvSpPr>
        <xdr:cNvPr id="3" name="Rectangle: Rounded Corners 2">
          <a:extLst>
            <a:ext uri="{FF2B5EF4-FFF2-40B4-BE49-F238E27FC236}">
              <a16:creationId xmlns:a16="http://schemas.microsoft.com/office/drawing/2014/main" id="{56597A4B-2E0F-DB3B-3A30-53030E26E4AE}"/>
            </a:ext>
          </a:extLst>
        </xdr:cNvPr>
        <xdr:cNvSpPr/>
      </xdr:nvSpPr>
      <xdr:spPr>
        <a:xfrm>
          <a:off x="4191000" y="121920"/>
          <a:ext cx="1653540" cy="777240"/>
        </a:xfrm>
        <a:prstGeom prst="roundRect">
          <a:avLst>
            <a:gd name="adj" fmla="val 2000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441960</xdr:colOff>
      <xdr:row>0</xdr:row>
      <xdr:rowOff>129540</xdr:rowOff>
    </xdr:from>
    <xdr:to>
      <xdr:col>12</xdr:col>
      <xdr:colOff>213360</xdr:colOff>
      <xdr:row>11</xdr:row>
      <xdr:rowOff>167640</xdr:rowOff>
    </xdr:to>
    <xdr:sp macro="" textlink="">
      <xdr:nvSpPr>
        <xdr:cNvPr id="4" name="Rectangle: Rounded Corners 3">
          <a:extLst>
            <a:ext uri="{FF2B5EF4-FFF2-40B4-BE49-F238E27FC236}">
              <a16:creationId xmlns:a16="http://schemas.microsoft.com/office/drawing/2014/main" id="{19CEE68E-2FB0-374B-6E45-5C15249DDE46}"/>
            </a:ext>
          </a:extLst>
        </xdr:cNvPr>
        <xdr:cNvSpPr/>
      </xdr:nvSpPr>
      <xdr:spPr>
        <a:xfrm>
          <a:off x="5928360" y="129540"/>
          <a:ext cx="1600200" cy="2049780"/>
        </a:xfrm>
        <a:prstGeom prst="roundRect">
          <a:avLst>
            <a:gd name="adj" fmla="val 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274320</xdr:colOff>
      <xdr:row>0</xdr:row>
      <xdr:rowOff>137160</xdr:rowOff>
    </xdr:from>
    <xdr:to>
      <xdr:col>15</xdr:col>
      <xdr:colOff>312420</xdr:colOff>
      <xdr:row>11</xdr:row>
      <xdr:rowOff>160020</xdr:rowOff>
    </xdr:to>
    <xdr:sp macro="" textlink="">
      <xdr:nvSpPr>
        <xdr:cNvPr id="5" name="Rectangle: Rounded Corners 4">
          <a:extLst>
            <a:ext uri="{FF2B5EF4-FFF2-40B4-BE49-F238E27FC236}">
              <a16:creationId xmlns:a16="http://schemas.microsoft.com/office/drawing/2014/main" id="{5ED27ACA-624C-434D-882F-30144ECDAD05}"/>
            </a:ext>
          </a:extLst>
        </xdr:cNvPr>
        <xdr:cNvSpPr/>
      </xdr:nvSpPr>
      <xdr:spPr>
        <a:xfrm>
          <a:off x="7589520" y="137160"/>
          <a:ext cx="1866900" cy="2034540"/>
        </a:xfrm>
        <a:prstGeom prst="roundRect">
          <a:avLst>
            <a:gd name="adj" fmla="val 18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106680</xdr:colOff>
      <xdr:row>5</xdr:row>
      <xdr:rowOff>15240</xdr:rowOff>
    </xdr:from>
    <xdr:to>
      <xdr:col>2</xdr:col>
      <xdr:colOff>198120</xdr:colOff>
      <xdr:row>21</xdr:row>
      <xdr:rowOff>175260</xdr:rowOff>
    </xdr:to>
    <xdr:sp macro="" textlink="">
      <xdr:nvSpPr>
        <xdr:cNvPr id="6" name="Rectangle: Rounded Corners 5">
          <a:extLst>
            <a:ext uri="{FF2B5EF4-FFF2-40B4-BE49-F238E27FC236}">
              <a16:creationId xmlns:a16="http://schemas.microsoft.com/office/drawing/2014/main" id="{9D0A55BC-CF75-8D34-FBBA-5C99CDF7F116}"/>
            </a:ext>
          </a:extLst>
        </xdr:cNvPr>
        <xdr:cNvSpPr/>
      </xdr:nvSpPr>
      <xdr:spPr>
        <a:xfrm>
          <a:off x="106680" y="929640"/>
          <a:ext cx="1310640" cy="3086100"/>
        </a:xfrm>
        <a:prstGeom prst="roundRect">
          <a:avLst>
            <a:gd name="adj" fmla="val 1418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304800</xdr:colOff>
      <xdr:row>5</xdr:row>
      <xdr:rowOff>22860</xdr:rowOff>
    </xdr:from>
    <xdr:to>
      <xdr:col>4</xdr:col>
      <xdr:colOff>396240</xdr:colOff>
      <xdr:row>11</xdr:row>
      <xdr:rowOff>22860</xdr:rowOff>
    </xdr:to>
    <xdr:sp macro="" textlink="">
      <xdr:nvSpPr>
        <xdr:cNvPr id="7" name="Rectangle: Rounded Corners 6">
          <a:extLst>
            <a:ext uri="{FF2B5EF4-FFF2-40B4-BE49-F238E27FC236}">
              <a16:creationId xmlns:a16="http://schemas.microsoft.com/office/drawing/2014/main" id="{489DDE3A-9D46-F390-371F-47BB032EBE83}"/>
            </a:ext>
          </a:extLst>
        </xdr:cNvPr>
        <xdr:cNvSpPr/>
      </xdr:nvSpPr>
      <xdr:spPr>
        <a:xfrm>
          <a:off x="1524000" y="937260"/>
          <a:ext cx="1310640" cy="1097280"/>
        </a:xfrm>
        <a:prstGeom prst="roundRect">
          <a:avLst>
            <a:gd name="adj" fmla="val 1418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434340</xdr:colOff>
      <xdr:row>5</xdr:row>
      <xdr:rowOff>15240</xdr:rowOff>
    </xdr:from>
    <xdr:to>
      <xdr:col>6</xdr:col>
      <xdr:colOff>525780</xdr:colOff>
      <xdr:row>10</xdr:row>
      <xdr:rowOff>167640</xdr:rowOff>
    </xdr:to>
    <xdr:sp macro="" textlink="">
      <xdr:nvSpPr>
        <xdr:cNvPr id="8" name="Rectangle: Rounded Corners 7">
          <a:extLst>
            <a:ext uri="{FF2B5EF4-FFF2-40B4-BE49-F238E27FC236}">
              <a16:creationId xmlns:a16="http://schemas.microsoft.com/office/drawing/2014/main" id="{AB5D5431-6BE8-4013-DD18-D5B773477949}"/>
            </a:ext>
          </a:extLst>
        </xdr:cNvPr>
        <xdr:cNvSpPr/>
      </xdr:nvSpPr>
      <xdr:spPr>
        <a:xfrm>
          <a:off x="2872740" y="929640"/>
          <a:ext cx="1310640" cy="1066800"/>
        </a:xfrm>
        <a:prstGeom prst="roundRect">
          <a:avLst>
            <a:gd name="adj" fmla="val 1418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601980</xdr:colOff>
      <xdr:row>5</xdr:row>
      <xdr:rowOff>45720</xdr:rowOff>
    </xdr:from>
    <xdr:to>
      <xdr:col>9</xdr:col>
      <xdr:colOff>281940</xdr:colOff>
      <xdr:row>10</xdr:row>
      <xdr:rowOff>167640</xdr:rowOff>
    </xdr:to>
    <xdr:sp macro="" textlink="">
      <xdr:nvSpPr>
        <xdr:cNvPr id="9" name="Rectangle: Rounded Corners 8">
          <a:extLst>
            <a:ext uri="{FF2B5EF4-FFF2-40B4-BE49-F238E27FC236}">
              <a16:creationId xmlns:a16="http://schemas.microsoft.com/office/drawing/2014/main" id="{AD54D859-AF00-E8C5-2A9C-0ABEA5601DC3}"/>
            </a:ext>
          </a:extLst>
        </xdr:cNvPr>
        <xdr:cNvSpPr/>
      </xdr:nvSpPr>
      <xdr:spPr>
        <a:xfrm>
          <a:off x="4259580" y="960120"/>
          <a:ext cx="1508760" cy="1036320"/>
        </a:xfrm>
        <a:prstGeom prst="roundRect">
          <a:avLst>
            <a:gd name="adj" fmla="val 1418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327660</xdr:colOff>
      <xdr:row>11</xdr:row>
      <xdr:rowOff>76200</xdr:rowOff>
    </xdr:from>
    <xdr:to>
      <xdr:col>9</xdr:col>
      <xdr:colOff>342900</xdr:colOff>
      <xdr:row>15</xdr:row>
      <xdr:rowOff>53340</xdr:rowOff>
    </xdr:to>
    <xdr:sp macro="" textlink="">
      <xdr:nvSpPr>
        <xdr:cNvPr id="10" name="Rectangle: Rounded Corners 9">
          <a:extLst>
            <a:ext uri="{FF2B5EF4-FFF2-40B4-BE49-F238E27FC236}">
              <a16:creationId xmlns:a16="http://schemas.microsoft.com/office/drawing/2014/main" id="{9683B9E6-0F72-FAD7-7CB6-858E39F174DE}"/>
            </a:ext>
          </a:extLst>
        </xdr:cNvPr>
        <xdr:cNvSpPr/>
      </xdr:nvSpPr>
      <xdr:spPr>
        <a:xfrm>
          <a:off x="1546860" y="2087880"/>
          <a:ext cx="4282440" cy="708660"/>
        </a:xfrm>
        <a:prstGeom prst="roundRect">
          <a:avLst>
            <a:gd name="adj" fmla="val 1283"/>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259080</xdr:colOff>
      <xdr:row>15</xdr:row>
      <xdr:rowOff>83820</xdr:rowOff>
    </xdr:from>
    <xdr:to>
      <xdr:col>9</xdr:col>
      <xdr:colOff>289560</xdr:colOff>
      <xdr:row>21</xdr:row>
      <xdr:rowOff>152400</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EC227522-EAD6-223E-B9A4-C3F297264FBE}"/>
            </a:ext>
          </a:extLst>
        </xdr:cNvPr>
        <xdr:cNvSpPr/>
      </xdr:nvSpPr>
      <xdr:spPr>
        <a:xfrm>
          <a:off x="1478280" y="2827020"/>
          <a:ext cx="4297680" cy="1165860"/>
        </a:xfrm>
        <a:prstGeom prst="roundRect">
          <a:avLst>
            <a:gd name="adj" fmla="val 14186"/>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403860</xdr:colOff>
      <xdr:row>11</xdr:row>
      <xdr:rowOff>175260</xdr:rowOff>
    </xdr:from>
    <xdr:to>
      <xdr:col>15</xdr:col>
      <xdr:colOff>373380</xdr:colOff>
      <xdr:row>22</xdr:row>
      <xdr:rowOff>38100</xdr:rowOff>
    </xdr:to>
    <xdr:sp macro="" textlink="">
      <xdr:nvSpPr>
        <xdr:cNvPr id="12" name="Rectangle: Rounded Corners 11">
          <a:extLst>
            <a:ext uri="{FF2B5EF4-FFF2-40B4-BE49-F238E27FC236}">
              <a16:creationId xmlns:a16="http://schemas.microsoft.com/office/drawing/2014/main" id="{74207F93-BCA9-5D92-FE71-033D67284D57}"/>
            </a:ext>
          </a:extLst>
        </xdr:cNvPr>
        <xdr:cNvSpPr/>
      </xdr:nvSpPr>
      <xdr:spPr>
        <a:xfrm>
          <a:off x="5890260" y="2186940"/>
          <a:ext cx="3627120" cy="1874520"/>
        </a:xfrm>
        <a:prstGeom prst="roundRect">
          <a:avLst>
            <a:gd name="adj" fmla="val 4440"/>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556260</xdr:colOff>
      <xdr:row>0</xdr:row>
      <xdr:rowOff>167640</xdr:rowOff>
    </xdr:from>
    <xdr:to>
      <xdr:col>6</xdr:col>
      <xdr:colOff>350520</xdr:colOff>
      <xdr:row>4</xdr:row>
      <xdr:rowOff>53340</xdr:rowOff>
    </xdr:to>
    <xdr:sp macro="" textlink="">
      <xdr:nvSpPr>
        <xdr:cNvPr id="19" name="TextBox 18">
          <a:extLst>
            <a:ext uri="{FF2B5EF4-FFF2-40B4-BE49-F238E27FC236}">
              <a16:creationId xmlns:a16="http://schemas.microsoft.com/office/drawing/2014/main" id="{4214D631-7F3C-F92D-1631-63342DE7DEA4}"/>
            </a:ext>
          </a:extLst>
        </xdr:cNvPr>
        <xdr:cNvSpPr txBox="1"/>
      </xdr:nvSpPr>
      <xdr:spPr>
        <a:xfrm>
          <a:off x="1165860" y="167640"/>
          <a:ext cx="28422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Hospital Emergency Room Dashboard</a:t>
          </a:r>
        </a:p>
        <a:p>
          <a:r>
            <a:rPr lang="en-IN" sz="1200" b="1"/>
            <a:t>	Monthly Report</a:t>
          </a:r>
        </a:p>
      </xdr:txBody>
    </xdr:sp>
    <xdr:clientData/>
  </xdr:twoCellAnchor>
  <xdr:twoCellAnchor editAs="oneCell">
    <xdr:from>
      <xdr:col>0</xdr:col>
      <xdr:colOff>228600</xdr:colOff>
      <xdr:row>0</xdr:row>
      <xdr:rowOff>99060</xdr:rowOff>
    </xdr:from>
    <xdr:to>
      <xdr:col>1</xdr:col>
      <xdr:colOff>556260</xdr:colOff>
      <xdr:row>4</xdr:row>
      <xdr:rowOff>30480</xdr:rowOff>
    </xdr:to>
    <xdr:pic>
      <xdr:nvPicPr>
        <xdr:cNvPr id="23" name="Picture 22">
          <a:extLst>
            <a:ext uri="{FF2B5EF4-FFF2-40B4-BE49-F238E27FC236}">
              <a16:creationId xmlns:a16="http://schemas.microsoft.com/office/drawing/2014/main" id="{C946ABFB-503D-4EF6-AF04-2D174FA7858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470" t="10924" r="16575" b="15966"/>
        <a:stretch>
          <a:fillRect/>
        </a:stretch>
      </xdr:blipFill>
      <xdr:spPr>
        <a:xfrm>
          <a:off x="228600" y="99060"/>
          <a:ext cx="937260" cy="662940"/>
        </a:xfrm>
        <a:prstGeom prst="rect">
          <a:avLst/>
        </a:prstGeom>
      </xdr:spPr>
    </xdr:pic>
    <xdr:clientData/>
  </xdr:twoCellAnchor>
  <xdr:twoCellAnchor>
    <xdr:from>
      <xdr:col>2</xdr:col>
      <xdr:colOff>601980</xdr:colOff>
      <xdr:row>5</xdr:row>
      <xdr:rowOff>106680</xdr:rowOff>
    </xdr:from>
    <xdr:to>
      <xdr:col>4</xdr:col>
      <xdr:colOff>38100</xdr:colOff>
      <xdr:row>7</xdr:row>
      <xdr:rowOff>0</xdr:rowOff>
    </xdr:to>
    <xdr:sp macro="" textlink="'pivot Report'!A5">
      <xdr:nvSpPr>
        <xdr:cNvPr id="15" name="TextBox 23">
          <a:extLst>
            <a:ext uri="{FF2B5EF4-FFF2-40B4-BE49-F238E27FC236}">
              <a16:creationId xmlns:a16="http://schemas.microsoft.com/office/drawing/2014/main" id="{C6425F61-C1C9-230A-6D7B-01D641FFC4A8}"/>
            </a:ext>
          </a:extLst>
        </xdr:cNvPr>
        <xdr:cNvSpPr txBox="1"/>
      </xdr:nvSpPr>
      <xdr:spPr>
        <a:xfrm>
          <a:off x="1821180" y="1021080"/>
          <a:ext cx="6553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443B303D-4A60-4A61-8D23-53219E3CEF22}" type="TxLink">
            <a:rPr lang="en-US" sz="1100" b="0" i="0" u="none" strike="noStrike">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513</a:t>
          </a:fld>
          <a:endParaRPr lang="en-IN" sz="1100"/>
        </a:p>
      </xdr:txBody>
    </xdr:sp>
    <xdr:clientData/>
  </xdr:twoCellAnchor>
  <xdr:twoCellAnchor>
    <xdr:from>
      <xdr:col>2</xdr:col>
      <xdr:colOff>381000</xdr:colOff>
      <xdr:row>7</xdr:row>
      <xdr:rowOff>106680</xdr:rowOff>
    </xdr:from>
    <xdr:to>
      <xdr:col>4</xdr:col>
      <xdr:colOff>274320</xdr:colOff>
      <xdr:row>9</xdr:row>
      <xdr:rowOff>0</xdr:rowOff>
    </xdr:to>
    <xdr:sp macro="" textlink="">
      <xdr:nvSpPr>
        <xdr:cNvPr id="26" name="TextBox 25">
          <a:extLst>
            <a:ext uri="{FF2B5EF4-FFF2-40B4-BE49-F238E27FC236}">
              <a16:creationId xmlns:a16="http://schemas.microsoft.com/office/drawing/2014/main" id="{6C39FBDA-DBAC-8E21-18A8-D5A9B13D3EA4}"/>
            </a:ext>
          </a:extLst>
        </xdr:cNvPr>
        <xdr:cNvSpPr txBox="1"/>
      </xdr:nvSpPr>
      <xdr:spPr>
        <a:xfrm>
          <a:off x="1600200" y="1386840"/>
          <a:ext cx="11125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800" b="0">
              <a:solidFill>
                <a:schemeClr val="dk1"/>
              </a:solidFill>
              <a:effectLst/>
              <a:latin typeface="+mn-lt"/>
              <a:ea typeface="+mn-ea"/>
              <a:cs typeface="+mn-cs"/>
            </a:rPr>
            <a:t>No.</a:t>
          </a:r>
          <a:r>
            <a:rPr lang="en-IN" sz="800" b="0" baseline="0">
              <a:solidFill>
                <a:schemeClr val="dk1"/>
              </a:solidFill>
              <a:effectLst/>
              <a:latin typeface="+mn-lt"/>
              <a:ea typeface="+mn-ea"/>
              <a:cs typeface="+mn-cs"/>
            </a:rPr>
            <a:t> of Patient</a:t>
          </a:r>
          <a:endParaRPr lang="en-IN" sz="800" b="0">
            <a:effectLst/>
          </a:endParaRPr>
        </a:p>
        <a:p>
          <a:endParaRPr lang="en-IN" sz="1100"/>
        </a:p>
      </xdr:txBody>
    </xdr:sp>
    <xdr:clientData/>
  </xdr:twoCellAnchor>
  <xdr:twoCellAnchor>
    <xdr:from>
      <xdr:col>4</xdr:col>
      <xdr:colOff>426720</xdr:colOff>
      <xdr:row>7</xdr:row>
      <xdr:rowOff>91440</xdr:rowOff>
    </xdr:from>
    <xdr:to>
      <xdr:col>6</xdr:col>
      <xdr:colOff>525780</xdr:colOff>
      <xdr:row>8</xdr:row>
      <xdr:rowOff>167640</xdr:rowOff>
    </xdr:to>
    <xdr:sp macro="" textlink="">
      <xdr:nvSpPr>
        <xdr:cNvPr id="16" name="TextBox 15">
          <a:extLst>
            <a:ext uri="{FF2B5EF4-FFF2-40B4-BE49-F238E27FC236}">
              <a16:creationId xmlns:a16="http://schemas.microsoft.com/office/drawing/2014/main" id="{302C88D4-BD5A-55F8-D85B-8E609E14D6D8}"/>
            </a:ext>
          </a:extLst>
        </xdr:cNvPr>
        <xdr:cNvSpPr txBox="1"/>
      </xdr:nvSpPr>
      <xdr:spPr>
        <a:xfrm>
          <a:off x="2865120" y="1371600"/>
          <a:ext cx="1318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800" b="1">
              <a:solidFill>
                <a:schemeClr val="dk1"/>
              </a:solidFill>
              <a:effectLst/>
              <a:latin typeface="+mn-lt"/>
              <a:ea typeface="+mn-ea"/>
              <a:cs typeface="+mn-cs"/>
            </a:rPr>
            <a:t>    Average</a:t>
          </a:r>
          <a:r>
            <a:rPr lang="en-IN" sz="800" b="1" baseline="0">
              <a:solidFill>
                <a:schemeClr val="dk1"/>
              </a:solidFill>
              <a:effectLst/>
              <a:latin typeface="+mn-lt"/>
              <a:ea typeface="+mn-ea"/>
              <a:cs typeface="+mn-cs"/>
            </a:rPr>
            <a:t> Wait Time</a:t>
          </a:r>
          <a:endParaRPr lang="en-IN" sz="800" b="1">
            <a:effectLst/>
          </a:endParaRPr>
        </a:p>
        <a:p>
          <a:endParaRPr lang="en-IN" sz="1100"/>
        </a:p>
      </xdr:txBody>
    </xdr:sp>
    <xdr:clientData/>
  </xdr:twoCellAnchor>
  <xdr:twoCellAnchor>
    <xdr:from>
      <xdr:col>7</xdr:col>
      <xdr:colOff>0</xdr:colOff>
      <xdr:row>7</xdr:row>
      <xdr:rowOff>106680</xdr:rowOff>
    </xdr:from>
    <xdr:to>
      <xdr:col>9</xdr:col>
      <xdr:colOff>106680</xdr:colOff>
      <xdr:row>9</xdr:row>
      <xdr:rowOff>167640</xdr:rowOff>
    </xdr:to>
    <xdr:sp macro="" textlink="">
      <xdr:nvSpPr>
        <xdr:cNvPr id="17" name="TextBox 16">
          <a:extLst>
            <a:ext uri="{FF2B5EF4-FFF2-40B4-BE49-F238E27FC236}">
              <a16:creationId xmlns:a16="http://schemas.microsoft.com/office/drawing/2014/main" id="{AB9E7D91-18C2-66C3-C4D2-7AAB4652570D}"/>
            </a:ext>
          </a:extLst>
        </xdr:cNvPr>
        <xdr:cNvSpPr txBox="1"/>
      </xdr:nvSpPr>
      <xdr:spPr>
        <a:xfrm>
          <a:off x="4267200" y="1386840"/>
          <a:ext cx="13258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800" b="0">
              <a:solidFill>
                <a:schemeClr val="dk1"/>
              </a:solidFill>
              <a:effectLst/>
              <a:latin typeface="+mn-lt"/>
              <a:ea typeface="+mn-ea"/>
              <a:cs typeface="+mn-cs"/>
            </a:rPr>
            <a:t>Patient Satisfaction</a:t>
          </a:r>
          <a:r>
            <a:rPr lang="en-IN" sz="800" b="0" baseline="0">
              <a:solidFill>
                <a:schemeClr val="dk1"/>
              </a:solidFill>
              <a:effectLst/>
              <a:latin typeface="+mn-lt"/>
              <a:ea typeface="+mn-ea"/>
              <a:cs typeface="+mn-cs"/>
            </a:rPr>
            <a:t>  Score</a:t>
          </a:r>
          <a:endParaRPr lang="en-IN" sz="800" b="0">
            <a:effectLst/>
          </a:endParaRPr>
        </a:p>
        <a:p>
          <a:endParaRPr lang="en-IN" sz="1100"/>
        </a:p>
      </xdr:txBody>
    </xdr:sp>
    <xdr:clientData/>
  </xdr:twoCellAnchor>
  <xdr:twoCellAnchor>
    <xdr:from>
      <xdr:col>5</xdr:col>
      <xdr:colOff>30480</xdr:colOff>
      <xdr:row>5</xdr:row>
      <xdr:rowOff>106680</xdr:rowOff>
    </xdr:from>
    <xdr:to>
      <xdr:col>6</xdr:col>
      <xdr:colOff>76200</xdr:colOff>
      <xdr:row>7</xdr:row>
      <xdr:rowOff>0</xdr:rowOff>
    </xdr:to>
    <xdr:sp macro="" textlink="'pivot Report'!A15">
      <xdr:nvSpPr>
        <xdr:cNvPr id="18" name="TextBox 23">
          <a:extLst>
            <a:ext uri="{FF2B5EF4-FFF2-40B4-BE49-F238E27FC236}">
              <a16:creationId xmlns:a16="http://schemas.microsoft.com/office/drawing/2014/main" id="{4F896F6F-79DF-3AD7-5ED5-EE700EC2ABA3}"/>
            </a:ext>
          </a:extLst>
        </xdr:cNvPr>
        <xdr:cNvSpPr txBox="1"/>
      </xdr:nvSpPr>
      <xdr:spPr>
        <a:xfrm>
          <a:off x="3078480" y="1021080"/>
          <a:ext cx="6553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5F6EE975-5EAA-40F3-B9DA-446248C8922A}" type="TxLink">
            <a:rPr lang="en-US" sz="1100" b="0" i="0" u="none" strike="noStrike">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36.32</a:t>
          </a:fld>
          <a:endParaRPr lang="en-IN" sz="1100"/>
        </a:p>
      </xdr:txBody>
    </xdr:sp>
    <xdr:clientData/>
  </xdr:twoCellAnchor>
  <xdr:twoCellAnchor>
    <xdr:from>
      <xdr:col>7</xdr:col>
      <xdr:colOff>327660</xdr:colOff>
      <xdr:row>5</xdr:row>
      <xdr:rowOff>129540</xdr:rowOff>
    </xdr:from>
    <xdr:to>
      <xdr:col>8</xdr:col>
      <xdr:colOff>373380</xdr:colOff>
      <xdr:row>7</xdr:row>
      <xdr:rowOff>22860</xdr:rowOff>
    </xdr:to>
    <xdr:sp macro="" textlink="'pivot Report'!A20">
      <xdr:nvSpPr>
        <xdr:cNvPr id="20" name="TextBox 23">
          <a:extLst>
            <a:ext uri="{FF2B5EF4-FFF2-40B4-BE49-F238E27FC236}">
              <a16:creationId xmlns:a16="http://schemas.microsoft.com/office/drawing/2014/main" id="{A2FF99F3-8938-250A-D503-A3F24A448FB8}"/>
            </a:ext>
          </a:extLst>
        </xdr:cNvPr>
        <xdr:cNvSpPr txBox="1"/>
      </xdr:nvSpPr>
      <xdr:spPr>
        <a:xfrm>
          <a:off x="4594860" y="1043940"/>
          <a:ext cx="6553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7658875F-2C2B-43B9-98C4-1E58F4A0C3A4}" type="TxLink">
            <a:rPr lang="en-US" sz="1100" b="0" i="0" u="none" strike="noStrike">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4.96</a:t>
          </a:fld>
          <a:endParaRPr lang="en-IN" sz="1100"/>
        </a:p>
      </xdr:txBody>
    </xdr:sp>
    <xdr:clientData/>
  </xdr:twoCellAnchor>
  <xdr:twoCellAnchor editAs="oneCell">
    <xdr:from>
      <xdr:col>4</xdr:col>
      <xdr:colOff>30480</xdr:colOff>
      <xdr:row>5</xdr:row>
      <xdr:rowOff>137160</xdr:rowOff>
    </xdr:from>
    <xdr:to>
      <xdr:col>4</xdr:col>
      <xdr:colOff>350520</xdr:colOff>
      <xdr:row>7</xdr:row>
      <xdr:rowOff>91440</xdr:rowOff>
    </xdr:to>
    <xdr:pic>
      <xdr:nvPicPr>
        <xdr:cNvPr id="22" name="Graphic 21" descr="User with solid fill">
          <a:extLst>
            <a:ext uri="{FF2B5EF4-FFF2-40B4-BE49-F238E27FC236}">
              <a16:creationId xmlns:a16="http://schemas.microsoft.com/office/drawing/2014/main" id="{663456C2-8494-A597-B7B2-064FBE773E9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68880" y="1051560"/>
          <a:ext cx="320040" cy="320040"/>
        </a:xfrm>
        <a:prstGeom prst="rect">
          <a:avLst/>
        </a:prstGeom>
      </xdr:spPr>
    </xdr:pic>
    <xdr:clientData/>
  </xdr:twoCellAnchor>
  <xdr:twoCellAnchor editAs="oneCell">
    <xdr:from>
      <xdr:col>6</xdr:col>
      <xdr:colOff>114300</xdr:colOff>
      <xdr:row>5</xdr:row>
      <xdr:rowOff>137160</xdr:rowOff>
    </xdr:from>
    <xdr:to>
      <xdr:col>6</xdr:col>
      <xdr:colOff>457200</xdr:colOff>
      <xdr:row>7</xdr:row>
      <xdr:rowOff>114300</xdr:rowOff>
    </xdr:to>
    <xdr:pic>
      <xdr:nvPicPr>
        <xdr:cNvPr id="27" name="Graphic 26" descr="Hourglass Finished with solid fill">
          <a:extLst>
            <a:ext uri="{FF2B5EF4-FFF2-40B4-BE49-F238E27FC236}">
              <a16:creationId xmlns:a16="http://schemas.microsoft.com/office/drawing/2014/main" id="{17FFAAF9-002F-AF34-D103-3A3ECE6A989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71900" y="1051560"/>
          <a:ext cx="342900" cy="342900"/>
        </a:xfrm>
        <a:prstGeom prst="rect">
          <a:avLst/>
        </a:prstGeom>
      </xdr:spPr>
    </xdr:pic>
    <xdr:clientData/>
  </xdr:twoCellAnchor>
  <xdr:twoCellAnchor editAs="oneCell">
    <xdr:from>
      <xdr:col>8</xdr:col>
      <xdr:colOff>243840</xdr:colOff>
      <xdr:row>5</xdr:row>
      <xdr:rowOff>97671</xdr:rowOff>
    </xdr:from>
    <xdr:to>
      <xdr:col>8</xdr:col>
      <xdr:colOff>563880</xdr:colOff>
      <xdr:row>7</xdr:row>
      <xdr:rowOff>143469</xdr:rowOff>
    </xdr:to>
    <xdr:pic>
      <xdr:nvPicPr>
        <xdr:cNvPr id="29" name="Graphic 28" descr="Customer review with solid fill">
          <a:extLst>
            <a:ext uri="{FF2B5EF4-FFF2-40B4-BE49-F238E27FC236}">
              <a16:creationId xmlns:a16="http://schemas.microsoft.com/office/drawing/2014/main" id="{D1D717D8-2B11-0D70-0A6D-9B9C64E5F5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20640" y="1012071"/>
          <a:ext cx="320040" cy="411558"/>
        </a:xfrm>
        <a:prstGeom prst="rect">
          <a:avLst/>
        </a:prstGeom>
      </xdr:spPr>
    </xdr:pic>
    <xdr:clientData/>
  </xdr:twoCellAnchor>
  <xdr:twoCellAnchor editAs="oneCell">
    <xdr:from>
      <xdr:col>0</xdr:col>
      <xdr:colOff>259080</xdr:colOff>
      <xdr:row>5</xdr:row>
      <xdr:rowOff>91440</xdr:rowOff>
    </xdr:from>
    <xdr:to>
      <xdr:col>1</xdr:col>
      <xdr:colOff>570480</xdr:colOff>
      <xdr:row>21</xdr:row>
      <xdr:rowOff>68580</xdr:rowOff>
    </xdr:to>
    <mc:AlternateContent xmlns:mc="http://schemas.openxmlformats.org/markup-compatibility/2006" xmlns:a14="http://schemas.microsoft.com/office/drawing/2010/main">
      <mc:Choice Requires="a14">
        <xdr:graphicFrame macro="">
          <xdr:nvGraphicFramePr>
            <xdr:cNvPr id="30" name="Date (Month)">
              <a:extLst>
                <a:ext uri="{FF2B5EF4-FFF2-40B4-BE49-F238E27FC236}">
                  <a16:creationId xmlns:a16="http://schemas.microsoft.com/office/drawing/2014/main" id="{381DF66C-B4A5-4EE2-AE11-357213FEF84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59080" y="1005840"/>
              <a:ext cx="921000" cy="2903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281940</xdr:colOff>
      <xdr:row>8</xdr:row>
      <xdr:rowOff>114300</xdr:rowOff>
    </xdr:from>
    <xdr:to>
      <xdr:col>4</xdr:col>
      <xdr:colOff>449580</xdr:colOff>
      <xdr:row>10</xdr:row>
      <xdr:rowOff>152400</xdr:rowOff>
    </xdr:to>
    <xdr:graphicFrame macro="">
      <xdr:nvGraphicFramePr>
        <xdr:cNvPr id="35" name="Chart 34">
          <a:hlinkClick xmlns:r="http://schemas.openxmlformats.org/officeDocument/2006/relationships" r:id="rId9"/>
          <a:extLst>
            <a:ext uri="{FF2B5EF4-FFF2-40B4-BE49-F238E27FC236}">
              <a16:creationId xmlns:a16="http://schemas.microsoft.com/office/drawing/2014/main" id="{9B93F903-54E9-4560-906E-86B10ACB1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518160</xdr:colOff>
      <xdr:row>8</xdr:row>
      <xdr:rowOff>60960</xdr:rowOff>
    </xdr:from>
    <xdr:to>
      <xdr:col>6</xdr:col>
      <xdr:colOff>358140</xdr:colOff>
      <xdr:row>10</xdr:row>
      <xdr:rowOff>114300</xdr:rowOff>
    </xdr:to>
    <xdr:graphicFrame macro="">
      <xdr:nvGraphicFramePr>
        <xdr:cNvPr id="36" name="Chart 35">
          <a:hlinkClick xmlns:r="http://schemas.openxmlformats.org/officeDocument/2006/relationships" r:id="rId11"/>
          <a:extLst>
            <a:ext uri="{FF2B5EF4-FFF2-40B4-BE49-F238E27FC236}">
              <a16:creationId xmlns:a16="http://schemas.microsoft.com/office/drawing/2014/main" id="{D426D3AE-5BCC-40E3-9CBF-F0CAF1209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579120</xdr:colOff>
      <xdr:row>8</xdr:row>
      <xdr:rowOff>76200</xdr:rowOff>
    </xdr:from>
    <xdr:to>
      <xdr:col>9</xdr:col>
      <xdr:colOff>99060</xdr:colOff>
      <xdr:row>10</xdr:row>
      <xdr:rowOff>99060</xdr:rowOff>
    </xdr:to>
    <xdr:graphicFrame macro="">
      <xdr:nvGraphicFramePr>
        <xdr:cNvPr id="37" name="Chart 36">
          <a:hlinkClick xmlns:r="http://schemas.openxmlformats.org/officeDocument/2006/relationships" r:id="rId13"/>
          <a:extLst>
            <a:ext uri="{FF2B5EF4-FFF2-40B4-BE49-F238E27FC236}">
              <a16:creationId xmlns:a16="http://schemas.microsoft.com/office/drawing/2014/main" id="{E7CF10D0-0506-4F19-9298-226036B79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350520</xdr:colOff>
          <xdr:row>11</xdr:row>
          <xdr:rowOff>91440</xdr:rowOff>
        </xdr:from>
        <xdr:to>
          <xdr:col>9</xdr:col>
          <xdr:colOff>304800</xdr:colOff>
          <xdr:row>15</xdr:row>
          <xdr:rowOff>53340</xdr:rowOff>
        </xdr:to>
        <mc:AlternateContent>
          <mc:Choice Requires="a14">
            <xdr:pic>
              <xdr:nvPicPr>
                <xdr:cNvPr id="33" name="Picture 32">
                  <a:extLst>
                    <a:ext uri="{FF2B5EF4-FFF2-40B4-BE49-F238E27FC236}">
                      <a16:creationId xmlns:a16="http://schemas.microsoft.com/office/drawing/2014/main" id="{6DBC0290-40F6-4148-11DD-8968DEF34097}"/>
                    </a:ext>
                  </a:extLst>
                </xdr:cNvPr>
                <xdr:cNvPicPr>
                  <a:picLocks noChangeAspect="1" noChangeArrowheads="1"/>
                  <a:extLst>
                    <a:ext uri="{84589F7E-364E-4C9E-8A38-B11213B215E9}">
                      <a14:cameraTool cellRange="'pivot Report'!$A$79:$D$81" spid="_x0000_s1031"/>
                    </a:ext>
                  </a:extLst>
                </xdr:cNvPicPr>
              </xdr:nvPicPr>
              <xdr:blipFill>
                <a:blip xmlns:r="http://schemas.openxmlformats.org/officeDocument/2006/relationships" r:embed="rId15"/>
                <a:srcRect/>
                <a:stretch>
                  <a:fillRect/>
                </a:stretch>
              </xdr:blipFill>
              <xdr:spPr bwMode="auto">
                <a:xfrm>
                  <a:off x="1569720" y="2103120"/>
                  <a:ext cx="4221480" cy="693420"/>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xdr:twoCellAnchor>
    <xdr:from>
      <xdr:col>2</xdr:col>
      <xdr:colOff>259080</xdr:colOff>
      <xdr:row>15</xdr:row>
      <xdr:rowOff>83820</xdr:rowOff>
    </xdr:from>
    <xdr:to>
      <xdr:col>9</xdr:col>
      <xdr:colOff>312420</xdr:colOff>
      <xdr:row>20</xdr:row>
      <xdr:rowOff>68580</xdr:rowOff>
    </xdr:to>
    <xdr:graphicFrame macro="">
      <xdr:nvGraphicFramePr>
        <xdr:cNvPr id="34" name="Chart 33">
          <a:extLst>
            <a:ext uri="{FF2B5EF4-FFF2-40B4-BE49-F238E27FC236}">
              <a16:creationId xmlns:a16="http://schemas.microsoft.com/office/drawing/2014/main" id="{26368B46-C652-42EF-9DC5-6EA71E82F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281940</xdr:colOff>
      <xdr:row>20</xdr:row>
      <xdr:rowOff>22860</xdr:rowOff>
    </xdr:from>
    <xdr:to>
      <xdr:col>8</xdr:col>
      <xdr:colOff>30480</xdr:colOff>
      <xdr:row>21</xdr:row>
      <xdr:rowOff>91440</xdr:rowOff>
    </xdr:to>
    <xdr:sp macro="" textlink="">
      <xdr:nvSpPr>
        <xdr:cNvPr id="38" name="TextBox 37">
          <a:extLst>
            <a:ext uri="{FF2B5EF4-FFF2-40B4-BE49-F238E27FC236}">
              <a16:creationId xmlns:a16="http://schemas.microsoft.com/office/drawing/2014/main" id="{4A76E36F-C7CE-3F7C-D9FB-69EA6D461973}"/>
            </a:ext>
          </a:extLst>
        </xdr:cNvPr>
        <xdr:cNvSpPr txBox="1"/>
      </xdr:nvSpPr>
      <xdr:spPr>
        <a:xfrm>
          <a:off x="2720340" y="3680460"/>
          <a:ext cx="21869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 by Age group</a:t>
          </a:r>
        </a:p>
        <a:p>
          <a:endParaRPr lang="en-IN" sz="1100"/>
        </a:p>
      </xdr:txBody>
    </xdr:sp>
    <xdr:clientData/>
  </xdr:twoCellAnchor>
  <xdr:twoCellAnchor>
    <xdr:from>
      <xdr:col>9</xdr:col>
      <xdr:colOff>449580</xdr:colOff>
      <xdr:row>0</xdr:row>
      <xdr:rowOff>137160</xdr:rowOff>
    </xdr:from>
    <xdr:to>
      <xdr:col>12</xdr:col>
      <xdr:colOff>190500</xdr:colOff>
      <xdr:row>8</xdr:row>
      <xdr:rowOff>175260</xdr:rowOff>
    </xdr:to>
    <xdr:graphicFrame macro="">
      <xdr:nvGraphicFramePr>
        <xdr:cNvPr id="39" name="Chart 38">
          <a:extLst>
            <a:ext uri="{FF2B5EF4-FFF2-40B4-BE49-F238E27FC236}">
              <a16:creationId xmlns:a16="http://schemas.microsoft.com/office/drawing/2014/main" id="{B17D06BC-7079-4EAA-91EA-06FD6B33C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563880</xdr:colOff>
      <xdr:row>9</xdr:row>
      <xdr:rowOff>129540</xdr:rowOff>
    </xdr:from>
    <xdr:to>
      <xdr:col>12</xdr:col>
      <xdr:colOff>167640</xdr:colOff>
      <xdr:row>11</xdr:row>
      <xdr:rowOff>15240</xdr:rowOff>
    </xdr:to>
    <xdr:sp macro="" textlink="">
      <xdr:nvSpPr>
        <xdr:cNvPr id="40" name="TextBox 39">
          <a:extLst>
            <a:ext uri="{FF2B5EF4-FFF2-40B4-BE49-F238E27FC236}">
              <a16:creationId xmlns:a16="http://schemas.microsoft.com/office/drawing/2014/main" id="{BF545F0B-F88B-4EB3-3D7B-DFAD2CD84DB3}"/>
            </a:ext>
          </a:extLst>
        </xdr:cNvPr>
        <xdr:cNvSpPr txBox="1"/>
      </xdr:nvSpPr>
      <xdr:spPr>
        <a:xfrm>
          <a:off x="6050280" y="1775460"/>
          <a:ext cx="14325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Patient Attended</a:t>
          </a:r>
          <a:r>
            <a:rPr lang="en-IN" sz="800" baseline="0"/>
            <a:t> within Time</a:t>
          </a:r>
          <a:endParaRPr lang="en-IN" sz="800"/>
        </a:p>
      </xdr:txBody>
    </xdr:sp>
    <xdr:clientData/>
  </xdr:twoCellAnchor>
  <xdr:twoCellAnchor>
    <xdr:from>
      <xdr:col>12</xdr:col>
      <xdr:colOff>434340</xdr:colOff>
      <xdr:row>10</xdr:row>
      <xdr:rowOff>7620</xdr:rowOff>
    </xdr:from>
    <xdr:to>
      <xdr:col>15</xdr:col>
      <xdr:colOff>38100</xdr:colOff>
      <xdr:row>11</xdr:row>
      <xdr:rowOff>99060</xdr:rowOff>
    </xdr:to>
    <xdr:sp macro="" textlink="">
      <xdr:nvSpPr>
        <xdr:cNvPr id="41" name="TextBox 40">
          <a:extLst>
            <a:ext uri="{FF2B5EF4-FFF2-40B4-BE49-F238E27FC236}">
              <a16:creationId xmlns:a16="http://schemas.microsoft.com/office/drawing/2014/main" id="{478E7077-562C-5D66-CDAD-4B509B01D336}"/>
            </a:ext>
          </a:extLst>
        </xdr:cNvPr>
        <xdr:cNvSpPr txBox="1"/>
      </xdr:nvSpPr>
      <xdr:spPr>
        <a:xfrm>
          <a:off x="7749540" y="1836420"/>
          <a:ext cx="14325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aseline="0"/>
            <a:t> Gender wise Analysis</a:t>
          </a:r>
          <a:endParaRPr lang="en-IN" sz="900"/>
        </a:p>
      </xdr:txBody>
    </xdr:sp>
    <xdr:clientData/>
  </xdr:twoCellAnchor>
  <xdr:twoCellAnchor>
    <xdr:from>
      <xdr:col>12</xdr:col>
      <xdr:colOff>266700</xdr:colOff>
      <xdr:row>0</xdr:row>
      <xdr:rowOff>144780</xdr:rowOff>
    </xdr:from>
    <xdr:to>
      <xdr:col>15</xdr:col>
      <xdr:colOff>289560</xdr:colOff>
      <xdr:row>9</xdr:row>
      <xdr:rowOff>137160</xdr:rowOff>
    </xdr:to>
    <xdr:graphicFrame macro="">
      <xdr:nvGraphicFramePr>
        <xdr:cNvPr id="42" name="Chart 41">
          <a:extLst>
            <a:ext uri="{FF2B5EF4-FFF2-40B4-BE49-F238E27FC236}">
              <a16:creationId xmlns:a16="http://schemas.microsoft.com/office/drawing/2014/main" id="{E0B00564-029D-4572-B047-965EE34CD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548640</xdr:colOff>
      <xdr:row>12</xdr:row>
      <xdr:rowOff>83820</xdr:rowOff>
    </xdr:from>
    <xdr:to>
      <xdr:col>15</xdr:col>
      <xdr:colOff>320040</xdr:colOff>
      <xdr:row>20</xdr:row>
      <xdr:rowOff>125730</xdr:rowOff>
    </xdr:to>
    <xdr:graphicFrame macro="">
      <xdr:nvGraphicFramePr>
        <xdr:cNvPr id="44" name="Chart 43">
          <a:hlinkClick xmlns:r="http://schemas.openxmlformats.org/officeDocument/2006/relationships" r:id="rId19"/>
          <a:extLst>
            <a:ext uri="{FF2B5EF4-FFF2-40B4-BE49-F238E27FC236}">
              <a16:creationId xmlns:a16="http://schemas.microsoft.com/office/drawing/2014/main" id="{A860665B-E8DA-48E4-B50F-67433B3FA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525780</xdr:colOff>
      <xdr:row>20</xdr:row>
      <xdr:rowOff>144780</xdr:rowOff>
    </xdr:from>
    <xdr:to>
      <xdr:col>15</xdr:col>
      <xdr:colOff>220980</xdr:colOff>
      <xdr:row>21</xdr:row>
      <xdr:rowOff>160020</xdr:rowOff>
    </xdr:to>
    <xdr:sp macro="" textlink="">
      <xdr:nvSpPr>
        <xdr:cNvPr id="45" name="TextBox 44">
          <a:extLst>
            <a:ext uri="{FF2B5EF4-FFF2-40B4-BE49-F238E27FC236}">
              <a16:creationId xmlns:a16="http://schemas.microsoft.com/office/drawing/2014/main" id="{3D776285-74EC-420C-AE44-0B426667A588}"/>
            </a:ext>
          </a:extLst>
        </xdr:cNvPr>
        <xdr:cNvSpPr txBox="1"/>
      </xdr:nvSpPr>
      <xdr:spPr>
        <a:xfrm>
          <a:off x="6012180" y="3802380"/>
          <a:ext cx="33528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No. of Patient</a:t>
          </a:r>
          <a:r>
            <a:rPr lang="en-IN" sz="1100" baseline="0"/>
            <a:t> by Department Referal</a:t>
          </a:r>
          <a:endParaRPr lang="en-IN" sz="1100"/>
        </a:p>
      </xdr:txBody>
    </xdr:sp>
    <xdr:clientData/>
  </xdr:twoCellAnchor>
  <xdr:twoCellAnchor editAs="oneCell">
    <xdr:from>
      <xdr:col>6</xdr:col>
      <xdr:colOff>548640</xdr:colOff>
      <xdr:row>1</xdr:row>
      <xdr:rowOff>83821</xdr:rowOff>
    </xdr:from>
    <xdr:to>
      <xdr:col>9</xdr:col>
      <xdr:colOff>312420</xdr:colOff>
      <xdr:row>4</xdr:row>
      <xdr:rowOff>7620</xdr:rowOff>
    </xdr:to>
    <mc:AlternateContent xmlns:mc="http://schemas.openxmlformats.org/markup-compatibility/2006" xmlns:a14="http://schemas.microsoft.com/office/drawing/2010/main">
      <mc:Choice Requires="a14">
        <xdr:graphicFrame macro="">
          <xdr:nvGraphicFramePr>
            <xdr:cNvPr id="46" name="Date (Year) 1">
              <a:extLst>
                <a:ext uri="{FF2B5EF4-FFF2-40B4-BE49-F238E27FC236}">
                  <a16:creationId xmlns:a16="http://schemas.microsoft.com/office/drawing/2014/main" id="{87E77445-BB0E-4A2D-8346-094FE272063E}"/>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206240" y="266701"/>
              <a:ext cx="1592580" cy="472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137160</xdr:colOff>
      <xdr:row>0</xdr:row>
      <xdr:rowOff>30480</xdr:rowOff>
    </xdr:from>
    <xdr:to>
      <xdr:col>16</xdr:col>
      <xdr:colOff>30480</xdr:colOff>
      <xdr:row>26</xdr:row>
      <xdr:rowOff>41910</xdr:rowOff>
    </xdr:to>
    <xdr:graphicFrame macro="">
      <xdr:nvGraphicFramePr>
        <xdr:cNvPr id="2" name="Chart 1">
          <a:extLst>
            <a:ext uri="{FF2B5EF4-FFF2-40B4-BE49-F238E27FC236}">
              <a16:creationId xmlns:a16="http://schemas.microsoft.com/office/drawing/2014/main" id="{32C7D790-6951-4F56-9EF3-9A2CD57A9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0.89179</cdr:x>
      <cdr:y>0</cdr:y>
    </cdr:from>
    <cdr:to>
      <cdr:x>0.98657</cdr:x>
      <cdr:y>0.19185</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14112CD-25D0-4E3A-9B50-B9DCA6B98A0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602980" y="0"/>
          <a:ext cx="914400" cy="914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601980</xdr:colOff>
      <xdr:row>25</xdr:row>
      <xdr:rowOff>30480</xdr:rowOff>
    </xdr:to>
    <xdr:graphicFrame macro="">
      <xdr:nvGraphicFramePr>
        <xdr:cNvPr id="2" name="Chart 1">
          <a:extLst>
            <a:ext uri="{FF2B5EF4-FFF2-40B4-BE49-F238E27FC236}">
              <a16:creationId xmlns:a16="http://schemas.microsoft.com/office/drawing/2014/main" id="{E683DF4E-9738-4BA7-BE7D-05845D35F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7620</xdr:rowOff>
    </xdr:from>
    <xdr:to>
      <xdr:col>1</xdr:col>
      <xdr:colOff>304800</xdr:colOff>
      <xdr:row>5</xdr:row>
      <xdr:rowOff>7620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695CAD4-BD91-3D4C-C5FD-311615D1AD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7620"/>
          <a:ext cx="914400" cy="914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137160</xdr:colOff>
      <xdr:row>0</xdr:row>
      <xdr:rowOff>7620</xdr:rowOff>
    </xdr:from>
    <xdr:to>
      <xdr:col>15</xdr:col>
      <xdr:colOff>563880</xdr:colOff>
      <xdr:row>24</xdr:row>
      <xdr:rowOff>167640</xdr:rowOff>
    </xdr:to>
    <xdr:graphicFrame macro="">
      <xdr:nvGraphicFramePr>
        <xdr:cNvPr id="2" name="Chart 1">
          <a:extLst>
            <a:ext uri="{FF2B5EF4-FFF2-40B4-BE49-F238E27FC236}">
              <a16:creationId xmlns:a16="http://schemas.microsoft.com/office/drawing/2014/main" id="{68E1543A-FE22-4BDE-AF84-3855BBB95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0</xdr:row>
      <xdr:rowOff>0</xdr:rowOff>
    </xdr:from>
    <xdr:to>
      <xdr:col>1</xdr:col>
      <xdr:colOff>434340</xdr:colOff>
      <xdr:row>5</xdr:row>
      <xdr:rowOff>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24093CE-E009-C9F8-FCF4-92D7F8181F7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540" y="0"/>
          <a:ext cx="914400" cy="914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1</xdr:row>
      <xdr:rowOff>7620</xdr:rowOff>
    </xdr:from>
    <xdr:to>
      <xdr:col>15</xdr:col>
      <xdr:colOff>7620</xdr:colOff>
      <xdr:row>25</xdr:row>
      <xdr:rowOff>45720</xdr:rowOff>
    </xdr:to>
    <xdr:graphicFrame macro="">
      <xdr:nvGraphicFramePr>
        <xdr:cNvPr id="2" name="Chart 1">
          <a:extLst>
            <a:ext uri="{FF2B5EF4-FFF2-40B4-BE49-F238E27FC236}">
              <a16:creationId xmlns:a16="http://schemas.microsoft.com/office/drawing/2014/main" id="{CD6EA8EE-52D4-491E-BB9D-6E2574129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30480</xdr:colOff>
      <xdr:row>1</xdr:row>
      <xdr:rowOff>53340</xdr:rowOff>
    </xdr:from>
    <xdr:to>
      <xdr:col>1</xdr:col>
      <xdr:colOff>335280</xdr:colOff>
      <xdr:row>6</xdr:row>
      <xdr:rowOff>53340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8DDAA9D9-AF0C-AF64-3A0E-CB7EC9F006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480" y="236220"/>
          <a:ext cx="914400" cy="914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571500</xdr:colOff>
      <xdr:row>24</xdr:row>
      <xdr:rowOff>152400</xdr:rowOff>
    </xdr:to>
    <xdr:graphicFrame macro="">
      <xdr:nvGraphicFramePr>
        <xdr:cNvPr id="2" name="Chart 1">
          <a:extLst>
            <a:ext uri="{FF2B5EF4-FFF2-40B4-BE49-F238E27FC236}">
              <a16:creationId xmlns:a16="http://schemas.microsoft.com/office/drawing/2014/main" id="{22149E33-3AAB-4408-A663-DAD23F076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0</xdr:row>
      <xdr:rowOff>0</xdr:rowOff>
    </xdr:from>
    <xdr:to>
      <xdr:col>1</xdr:col>
      <xdr:colOff>152400</xdr:colOff>
      <xdr:row>4</xdr:row>
      <xdr:rowOff>7620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EC1913D-F642-5A17-B0B7-9C978691E2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860" y="0"/>
          <a:ext cx="739140" cy="7391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24884261" createdVersion="5" refreshedVersion="8" minRefreshableVersion="3" recordCount="0" supportSubquery="1" supportAdvancedDrill="1" xr:uid="{95ABBC1A-9E0E-43F3-BC07-1D399FA44BB8}">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25347223" createdVersion="5" refreshedVersion="8" minRefreshableVersion="3" recordCount="0" supportSubquery="1" supportAdvancedDrill="1" xr:uid="{27CBCF5B-E721-4F35-B35A-3B9D7C6330FF}">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26041669" createdVersion="5" refreshedVersion="8" minRefreshableVersion="3" recordCount="0" supportSubquery="1" supportAdvancedDrill="1" xr:uid="{C7889C1E-3C89-438B-8AB5-6BD90AA60446}">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26736108" createdVersion="5" refreshedVersion="8" minRefreshableVersion="3" recordCount="0" supportSubquery="1" supportAdvancedDrill="1" xr:uid="{DFACCB84-37ED-4B03-982D-5A31A6212A26}">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27083332" createdVersion="5" refreshedVersion="8" minRefreshableVersion="3" recordCount="0" supportSubquery="1" supportAdvancedDrill="1" xr:uid="{EC5287F2-F3E2-42CC-B44F-E5A0BF637C6A}">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27546294" createdVersion="5" refreshedVersion="8" minRefreshableVersion="3" recordCount="0" supportSubquery="1" supportAdvancedDrill="1" xr:uid="{B6D4D68A-04F7-4A69-9D9F-6597D8F6FBD5}">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28703702" createdVersion="5" refreshedVersion="8" minRefreshableVersion="3" recordCount="0" supportSubquery="1" supportAdvancedDrill="1" xr:uid="{55BA7227-3732-41EA-A456-D8609F2ECD5D}">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29513887" createdVersion="5" refreshedVersion="8" minRefreshableVersion="3" recordCount="0" supportSubquery="1" supportAdvancedDrill="1" xr:uid="{8A8EF318-3494-497C-A040-64754B1A72D3}">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30439818" createdVersion="5" refreshedVersion="8" minRefreshableVersion="3" recordCount="0" supportSubquery="1" supportAdvancedDrill="1" xr:uid="{E575D2D9-EB3B-402A-8AC2-8D28CEBD9C00}">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31134258" createdVersion="5" refreshedVersion="8" minRefreshableVersion="3" recordCount="0" supportSubquery="1" supportAdvancedDrill="1" xr:uid="{FE2208E1-5E28-4387-9108-4CB9DE23FC78}">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211.470431828704" createdVersion="5" refreshedVersion="8" minRefreshableVersion="3" recordCount="0" supportSubquery="1" supportAdvancedDrill="1" xr:uid="{31ED0F83-77A0-462D-8AE0-977720B4498A}">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3"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YIN" refreshedDate="46187.488566203705" createdVersion="3" refreshedVersion="8" minRefreshableVersion="3" recordCount="0" supportSubquery="1" supportAdvancedDrill="1" xr:uid="{D4F0F96C-F33B-4EA8-BBC4-EAAE215F95E4}">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689116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A21277-5221-4419-B2AA-3F72DD9E8779}" name="PivotTable7" cacheId="71" applyNumberFormats="0" applyBorderFormats="0" applyFontFormats="0" applyPatternFormats="0" applyAlignmentFormats="0" applyWidthHeightFormats="1" dataCaption="Values" tag="eef0887f-b640-4bce-9cf3-a7faa9c7e143" updatedVersion="8" minRefreshableVersion="3" useAutoFormatting="1" subtotalHiddenItems="1" itemPrintTitles="1" createdVersion="5" indent="0" outline="1" outlineData="1" multipleFieldFilters="0" chartFormat="39">
  <location ref="J36:K6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6">
      <pivotArea collapsedLevelsAreSubtotals="1" fieldPosition="0">
        <references count="1">
          <reference field="0" count="0"/>
        </references>
      </pivotArea>
    </format>
  </formats>
  <chartFormats count="4">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3DAEA1-5D0E-443E-86CB-50440EBC6862}" name="PivotTable8" cacheId="74" applyNumberFormats="0" applyBorderFormats="0" applyFontFormats="0" applyPatternFormats="0" applyAlignmentFormats="0" applyWidthHeightFormats="1" dataCaption="Values" tag="7100ff15-f20e-4a2f-aad0-06d99244965c" updatedVersion="8" minRefreshableVersion="3" subtotalHiddenItems="1" itemPrintTitles="1" createdVersion="5" indent="0" outline="1" outlineData="1" multipleFieldFilters="0" chartFormat="9">
  <location ref="A86:B9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7">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670B7D-3628-4397-BB66-C0EF09650AC8}" name="PivotTable6" cacheId="68" applyNumberFormats="0" applyBorderFormats="0" applyFontFormats="0" applyPatternFormats="0" applyAlignmentFormats="0" applyWidthHeightFormats="1" dataCaption="Values" tag="1772da57-3c1a-44f9-af62-f3071e309b1d" updatedVersion="8" minRefreshableVersion="3" useAutoFormatting="1" subtotalHiddenItems="1" itemPrintTitles="1" createdVersion="5" indent="0" outline="1" outlineData="1" multipleFieldFilters="0" chartFormat="32">
  <location ref="G36:H6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28">
      <pivotArea collapsedLevelsAreSubtotals="1" fieldPosition="0">
        <references count="1">
          <reference field="0" count="0"/>
        </references>
      </pivotArea>
    </format>
  </formats>
  <chartFormats count="3">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DCE50B-465A-4ADA-8D5E-7C1EAAD69F6F}" name="PivotTable2" cacheId="56" applyNumberFormats="0" applyBorderFormats="0" applyFontFormats="0" applyPatternFormats="0" applyAlignmentFormats="0" applyWidthHeightFormats="1" dataCaption="Values" tag="7100ff15-f20e-4a2f-aad0-06d99244965c" updatedVersion="8" minRefreshableVersion="3" subtotalHiddenItems="1" itemPrintTitles="1" createdVersion="5" indent="0" outline="1" outlineData="1" multipleFieldFilters="0" chartFormat="6">
  <location ref="A71:C7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32">
      <pivotArea outline="0" collapsedLevelsAreSubtotals="1" fieldPosition="0"/>
    </format>
    <format dxfId="31">
      <pivotArea collapsedLevelsAreSubtotals="1" fieldPosition="0">
        <references count="1">
          <reference field="2" count="1">
            <x v="0"/>
          </reference>
        </references>
      </pivotArea>
    </format>
    <format dxfId="30">
      <pivotArea collapsedLevelsAreSubtotals="1" fieldPosition="0">
        <references count="1">
          <reference field="2" count="1">
            <x v="1"/>
          </reference>
        </references>
      </pivotArea>
    </format>
    <format dxfId="2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912E4E-771B-49A9-A221-BC9EA86A2F88}" name="PivotTable4" cacheId="62" applyNumberFormats="0" applyBorderFormats="0" applyFontFormats="0" applyPatternFormats="0" applyAlignmentFormats="0" applyWidthHeightFormats="1" dataCaption="Values" tag="7100ff15-f20e-4a2f-aad0-06d99244965c" updatedVersion="8" minRefreshableVersion="3" useAutoFormatting="1" subtotalHiddenItems="1"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3">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25D42C-8AEB-449F-9F77-E46B9CD0E583}" name="PivotTable5" cacheId="65" applyNumberFormats="0" applyBorderFormats="0" applyFontFormats="0" applyPatternFormats="0" applyAlignmentFormats="0" applyWidthHeightFormats="1" dataCaption="Values" tag="d7522770-3467-4812-8b81-82988e06a3ce" updatedVersion="8" minRefreshableVersion="3" useAutoFormatting="1" subtotalHiddenItems="1" itemPrintTitles="1" createdVersion="5" indent="0" outline="1" outlineData="1" multipleFieldFilters="0" chartFormat="25">
  <location ref="B4:C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0A5B87-EDE6-44A2-AA1F-1DE2A44C790E}" name="PivotTable9" cacheId="77" applyNumberFormats="0" applyBorderFormats="0" applyFontFormats="0" applyPatternFormats="0" applyAlignmentFormats="0" applyWidthHeightFormats="1" dataCaption="Values" tag="7100ff15-f20e-4a2f-aad0-06d99244965c" updatedVersion="8" minRefreshableVersion="3" subtotalHiddenItems="1" itemPrintTitles="1" createdVersion="5" indent="0" outline="1" outlineData="1" multipleFieldFilters="0" chartFormat="23">
  <location ref="A102:B10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35">
      <pivotArea outline="0" collapsedLevelsAreSubtotals="1" fieldPosition="0"/>
    </format>
    <format dxfId="34">
      <pivotArea collapsedLevelsAreSubtotals="1" fieldPosition="0">
        <references count="1">
          <reference field="2" count="0"/>
        </references>
      </pivotArea>
    </format>
  </formats>
  <chartFormats count="9">
    <chartFormat chart="12" format="7"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2" count="1" selected="0">
            <x v="0"/>
          </reference>
        </references>
      </pivotArea>
    </chartFormat>
    <chartFormat chart="16" format="3">
      <pivotArea type="data" outline="0" fieldPosition="0">
        <references count="2">
          <reference field="4294967294" count="1" selected="0">
            <x v="0"/>
          </reference>
          <reference field="2"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2" count="1" selected="0">
            <x v="0"/>
          </reference>
        </references>
      </pivotArea>
    </chartFormat>
    <chartFormat chart="17" format="6">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0"/>
          </reference>
        </references>
      </pivotArea>
    </chartFormat>
    <chartFormat chart="12" format="9">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653698-ED51-4718-A477-B0F2F37CEF37}" name="PivotTable3" cacheId="59" applyNumberFormats="0" applyBorderFormats="0" applyFontFormats="0" applyPatternFormats="0" applyAlignmentFormats="0" applyWidthHeightFormats="1" dataCaption="Values" tag="e684c442-2123-444d-8f62-cbad44c1391e" updatedVersion="8" minRefreshableVersion="3" useAutoFormatting="1"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6">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00F423-91C0-4632-9340-321ED6544FE1}" name="PivotTable10" cacheId="53" applyNumberFormats="0" applyBorderFormats="0" applyFontFormats="0" applyPatternFormats="0" applyAlignmentFormats="0" applyWidthHeightFormats="1" dataCaption="Values" tag="7100ff15-f20e-4a2f-aad0-06d99244965c" updatedVersion="8" minRefreshableVersion="3" subtotalHiddenItems="1" itemPrintTitles="1" createdVersion="5" indent="0" outline="1" outlineData="1" multipleFieldFilters="0" chartFormat="29">
  <location ref="B109:C118"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i>
    <i>
      <x v="3"/>
    </i>
    <i>
      <x v="7"/>
    </i>
    <i>
      <x v="1"/>
    </i>
    <i t="grand">
      <x/>
    </i>
  </rowItems>
  <colItems count="1">
    <i/>
  </colItems>
  <dataFields count="1">
    <dataField name="Count of Department Referral" fld="2" subtotal="count" baseField="0" baseItem="0"/>
  </dataFields>
  <formats count="1">
    <format dxfId="37">
      <pivotArea outline="0" collapsedLevelsAreSubtotals="1" fieldPosition="0"/>
    </format>
  </formats>
  <chartFormats count="3">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EE5FE7-3EEE-47EB-822A-C1230D8A6C0B}" name="PivotTable11" cacheId="47" applyNumberFormats="0" applyBorderFormats="0" applyFontFormats="0" applyPatternFormats="0" applyAlignmentFormats="0" applyWidthHeightFormats="1" dataCaption="Values" tag="7100ff15-f20e-4a2f-aad0-06d99244965c" updatedVersion="8" minRefreshableVersion="3" subtotalHiddenItems="1" itemPrintTitles="1" createdVersion="5" indent="0" outline="1" outlineData="1" multipleFieldFilters="0" chartFormat="29">
  <location ref="B121:B12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8">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F507B3-0A18-4473-85A3-BB4BC1F81C6D}" name="PivotTable1" cacheId="50" applyNumberFormats="0" applyBorderFormats="0" applyFontFormats="0" applyPatternFormats="0" applyAlignmentFormats="0" applyWidthHeightFormats="1" dataCaption="Values" tag="2edbb883-d8ab-48e6-bac2-e4073bdd472e"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C3E77C3-5169-4465-9F1F-28FF00A00421}" sourceName="[Calendar_Table].[Date (Month)]">
  <pivotTables>
    <pivotTable tabId="1" name="PivotTable5"/>
    <pivotTable tabId="1" name="PivotTable1"/>
    <pivotTable tabId="1" name="PivotTable3"/>
    <pivotTable tabId="1" name="PivotTable4"/>
    <pivotTable tabId="1" name="PivotTable6"/>
    <pivotTable tabId="1" name="PivotTable7"/>
    <pivotTable tabId="1" name="PivotTable2"/>
    <pivotTable tabId="1" name="PivotTable8"/>
    <pivotTable tabId="1" name="PivotTable9"/>
    <pivotTable tabId="1" name="PivotTable10"/>
    <pivotTable tabId="1" name="PivotTable11"/>
  </pivotTables>
  <data>
    <olap pivotCacheId="26891165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B0D5DD7-6B61-457A-AEB2-2509D17598DE}" sourceName="[Calendar_Table].[Dat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6891165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E3EC27CB-31B2-47F9-B92B-CE7B5D5E3E32}"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B061DEE-72BB-4A64-B725-85615BD51906}" cache="Slicer_Date__Month" caption="Date (Month)" showCaption="0" level="1" rowHeight="180000"/>
  <slicer name="Date (Year) 1" xr10:uid="{9AB24CDE-197D-47F0-BDC0-ED573B9B66DF}" cache="Slicer_Date__Year" caption="Date (Year)" columnCount="2" showCaption="0"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DE256-702D-420E-84DE-71FD6316977C}">
  <dimension ref="A3:K123"/>
  <sheetViews>
    <sheetView topLeftCell="A66" zoomScaleNormal="100" workbookViewId="0">
      <selection activeCell="D86" sqref="D86"/>
    </sheetView>
  </sheetViews>
  <sheetFormatPr defaultRowHeight="14.4" x14ac:dyDescent="0.3"/>
  <cols>
    <col min="1" max="1" width="32.44140625" bestFit="1" customWidth="1"/>
    <col min="2" max="2" width="12.5546875" bestFit="1" customWidth="1"/>
    <col min="3" max="3" width="23.88671875" bestFit="1" customWidth="1"/>
    <col min="4" max="4" width="25.77734375" customWidth="1"/>
    <col min="7" max="7" width="12.5546875" bestFit="1" customWidth="1"/>
    <col min="8" max="8" width="25" customWidth="1"/>
    <col min="9" max="9" width="21.88671875" bestFit="1" customWidth="1"/>
    <col min="10" max="10" width="12.5546875" bestFit="1" customWidth="1"/>
    <col min="11" max="11" width="32.44140625" bestFit="1" customWidth="1"/>
    <col min="12" max="12" width="29.21875" bestFit="1" customWidth="1"/>
  </cols>
  <sheetData>
    <row r="3" spans="1:3" x14ac:dyDescent="0.3">
      <c r="A3" t="s">
        <v>1</v>
      </c>
      <c r="B3" t="s">
        <v>37</v>
      </c>
    </row>
    <row r="4" spans="1:3" x14ac:dyDescent="0.3">
      <c r="A4" t="s">
        <v>0</v>
      </c>
      <c r="B4" s="3" t="s">
        <v>4</v>
      </c>
      <c r="C4" t="s">
        <v>0</v>
      </c>
    </row>
    <row r="5" spans="1:3" x14ac:dyDescent="0.3">
      <c r="A5" s="13">
        <v>513</v>
      </c>
      <c r="B5" s="4" t="s">
        <v>6</v>
      </c>
      <c r="C5" s="13">
        <v>19</v>
      </c>
    </row>
    <row r="6" spans="1:3" x14ac:dyDescent="0.3">
      <c r="B6" s="4" t="s">
        <v>7</v>
      </c>
      <c r="C6" s="13">
        <v>14</v>
      </c>
    </row>
    <row r="7" spans="1:3" x14ac:dyDescent="0.3">
      <c r="B7" s="4" t="s">
        <v>8</v>
      </c>
      <c r="C7" s="13">
        <v>13</v>
      </c>
    </row>
    <row r="8" spans="1:3" x14ac:dyDescent="0.3">
      <c r="B8" s="4" t="s">
        <v>9</v>
      </c>
      <c r="C8" s="13">
        <v>22</v>
      </c>
    </row>
    <row r="9" spans="1:3" x14ac:dyDescent="0.3">
      <c r="B9" s="4" t="s">
        <v>10</v>
      </c>
      <c r="C9" s="13">
        <v>19</v>
      </c>
    </row>
    <row r="10" spans="1:3" x14ac:dyDescent="0.3">
      <c r="B10" s="4" t="s">
        <v>11</v>
      </c>
      <c r="C10" s="13">
        <v>15</v>
      </c>
    </row>
    <row r="11" spans="1:3" x14ac:dyDescent="0.3">
      <c r="B11" s="4" t="s">
        <v>12</v>
      </c>
      <c r="C11" s="13">
        <v>12</v>
      </c>
    </row>
    <row r="12" spans="1:3" x14ac:dyDescent="0.3">
      <c r="B12" s="4" t="s">
        <v>13</v>
      </c>
      <c r="C12" s="13">
        <v>21</v>
      </c>
    </row>
    <row r="13" spans="1:3" x14ac:dyDescent="0.3">
      <c r="B13" s="4" t="s">
        <v>14</v>
      </c>
      <c r="C13" s="13">
        <v>12</v>
      </c>
    </row>
    <row r="14" spans="1:3" x14ac:dyDescent="0.3">
      <c r="A14" t="s">
        <v>2</v>
      </c>
      <c r="B14" s="4" t="s">
        <v>15</v>
      </c>
      <c r="C14" s="13">
        <v>13</v>
      </c>
    </row>
    <row r="15" spans="1:3" x14ac:dyDescent="0.3">
      <c r="A15" s="1">
        <v>36.323586744639378</v>
      </c>
      <c r="B15" s="4" t="s">
        <v>16</v>
      </c>
      <c r="C15" s="13">
        <v>13</v>
      </c>
    </row>
    <row r="16" spans="1:3" x14ac:dyDescent="0.3">
      <c r="B16" s="4" t="s">
        <v>17</v>
      </c>
      <c r="C16" s="13">
        <v>16</v>
      </c>
    </row>
    <row r="17" spans="1:3" x14ac:dyDescent="0.3">
      <c r="B17" s="4" t="s">
        <v>18</v>
      </c>
      <c r="C17" s="13">
        <v>20</v>
      </c>
    </row>
    <row r="18" spans="1:3" x14ac:dyDescent="0.3">
      <c r="B18" s="4" t="s">
        <v>19</v>
      </c>
      <c r="C18" s="13">
        <v>25</v>
      </c>
    </row>
    <row r="19" spans="1:3" x14ac:dyDescent="0.3">
      <c r="A19" t="s">
        <v>3</v>
      </c>
      <c r="B19" s="4" t="s">
        <v>20</v>
      </c>
      <c r="C19" s="13">
        <v>20</v>
      </c>
    </row>
    <row r="20" spans="1:3" x14ac:dyDescent="0.3">
      <c r="A20" s="1">
        <v>4.9591836734693882</v>
      </c>
      <c r="B20" s="4" t="s">
        <v>21</v>
      </c>
      <c r="C20" s="13">
        <v>14</v>
      </c>
    </row>
    <row r="21" spans="1:3" x14ac:dyDescent="0.3">
      <c r="B21" s="4" t="s">
        <v>22</v>
      </c>
      <c r="C21" s="13">
        <v>17</v>
      </c>
    </row>
    <row r="22" spans="1:3" x14ac:dyDescent="0.3">
      <c r="B22" s="4" t="s">
        <v>23</v>
      </c>
      <c r="C22" s="13">
        <v>20</v>
      </c>
    </row>
    <row r="23" spans="1:3" x14ac:dyDescent="0.3">
      <c r="B23" s="4" t="s">
        <v>24</v>
      </c>
      <c r="C23" s="13">
        <v>10</v>
      </c>
    </row>
    <row r="24" spans="1:3" x14ac:dyDescent="0.3">
      <c r="B24" s="4" t="s">
        <v>25</v>
      </c>
      <c r="C24" s="13">
        <v>17</v>
      </c>
    </row>
    <row r="25" spans="1:3" x14ac:dyDescent="0.3">
      <c r="B25" s="4" t="s">
        <v>26</v>
      </c>
      <c r="C25" s="13">
        <v>15</v>
      </c>
    </row>
    <row r="26" spans="1:3" x14ac:dyDescent="0.3">
      <c r="B26" s="4" t="s">
        <v>27</v>
      </c>
      <c r="C26" s="13">
        <v>16</v>
      </c>
    </row>
    <row r="27" spans="1:3" x14ac:dyDescent="0.3">
      <c r="B27" s="4" t="s">
        <v>28</v>
      </c>
      <c r="C27" s="13">
        <v>18</v>
      </c>
    </row>
    <row r="28" spans="1:3" x14ac:dyDescent="0.3">
      <c r="B28" s="4" t="s">
        <v>29</v>
      </c>
      <c r="C28" s="13">
        <v>16</v>
      </c>
    </row>
    <row r="29" spans="1:3" x14ac:dyDescent="0.3">
      <c r="B29" s="4" t="s">
        <v>30</v>
      </c>
      <c r="C29" s="13">
        <v>15</v>
      </c>
    </row>
    <row r="30" spans="1:3" x14ac:dyDescent="0.3">
      <c r="B30" s="4" t="s">
        <v>31</v>
      </c>
      <c r="C30" s="13">
        <v>14</v>
      </c>
    </row>
    <row r="31" spans="1:3" x14ac:dyDescent="0.3">
      <c r="B31" s="4" t="s">
        <v>32</v>
      </c>
      <c r="C31" s="13">
        <v>16</v>
      </c>
    </row>
    <row r="32" spans="1:3" x14ac:dyDescent="0.3">
      <c r="B32" s="4" t="s">
        <v>33</v>
      </c>
      <c r="C32" s="13">
        <v>20</v>
      </c>
    </row>
    <row r="33" spans="2:11" x14ac:dyDescent="0.3">
      <c r="B33" s="4" t="s">
        <v>34</v>
      </c>
      <c r="C33" s="13">
        <v>19</v>
      </c>
    </row>
    <row r="34" spans="2:11" x14ac:dyDescent="0.3">
      <c r="B34" s="4" t="s">
        <v>35</v>
      </c>
      <c r="C34" s="13">
        <v>14</v>
      </c>
    </row>
    <row r="35" spans="2:11" x14ac:dyDescent="0.3">
      <c r="B35" s="4" t="s">
        <v>36</v>
      </c>
      <c r="C35" s="13">
        <v>18</v>
      </c>
      <c r="G35" t="s">
        <v>38</v>
      </c>
      <c r="J35" t="s">
        <v>39</v>
      </c>
    </row>
    <row r="36" spans="2:11" x14ac:dyDescent="0.3">
      <c r="B36" s="4" t="s">
        <v>5</v>
      </c>
      <c r="C36" s="13">
        <v>513</v>
      </c>
      <c r="G36" s="3" t="s">
        <v>4</v>
      </c>
      <c r="H36" t="s">
        <v>2</v>
      </c>
      <c r="J36" s="3" t="s">
        <v>4</v>
      </c>
      <c r="K36" t="s">
        <v>3</v>
      </c>
    </row>
    <row r="37" spans="2:11" x14ac:dyDescent="0.3">
      <c r="G37" s="4" t="s">
        <v>6</v>
      </c>
      <c r="H37" s="1">
        <v>37.789473684210527</v>
      </c>
      <c r="J37" s="4" t="s">
        <v>6</v>
      </c>
      <c r="K37" s="1">
        <v>6.666666666666667</v>
      </c>
    </row>
    <row r="38" spans="2:11" x14ac:dyDescent="0.3">
      <c r="G38" s="4" t="s">
        <v>7</v>
      </c>
      <c r="H38" s="1">
        <v>38.214285714285715</v>
      </c>
      <c r="J38" s="4" t="s">
        <v>7</v>
      </c>
      <c r="K38" s="1">
        <v>3.5</v>
      </c>
    </row>
    <row r="39" spans="2:11" x14ac:dyDescent="0.3">
      <c r="G39" s="4" t="s">
        <v>8</v>
      </c>
      <c r="H39" s="1">
        <v>40.92307692307692</v>
      </c>
      <c r="J39" s="4" t="s">
        <v>8</v>
      </c>
      <c r="K39" s="1">
        <v>4.5</v>
      </c>
    </row>
    <row r="40" spans="2:11" x14ac:dyDescent="0.3">
      <c r="G40" s="4" t="s">
        <v>9</v>
      </c>
      <c r="H40" s="1">
        <v>34.5</v>
      </c>
      <c r="J40" s="4" t="s">
        <v>9</v>
      </c>
      <c r="K40" s="1">
        <v>4.8</v>
      </c>
    </row>
    <row r="41" spans="2:11" x14ac:dyDescent="0.3">
      <c r="G41" s="4" t="s">
        <v>10</v>
      </c>
      <c r="H41" s="1">
        <v>30.684210526315791</v>
      </c>
      <c r="J41" s="4" t="s">
        <v>10</v>
      </c>
      <c r="K41" s="1">
        <v>7.75</v>
      </c>
    </row>
    <row r="42" spans="2:11" x14ac:dyDescent="0.3">
      <c r="G42" s="4" t="s">
        <v>11</v>
      </c>
      <c r="H42" s="1">
        <v>37.666666666666664</v>
      </c>
      <c r="J42" s="4" t="s">
        <v>11</v>
      </c>
      <c r="K42" s="1">
        <v>6.2</v>
      </c>
    </row>
    <row r="43" spans="2:11" x14ac:dyDescent="0.3">
      <c r="G43" s="4" t="s">
        <v>12</v>
      </c>
      <c r="H43" s="1">
        <v>36.083333333333336</v>
      </c>
      <c r="J43" s="4" t="s">
        <v>12</v>
      </c>
      <c r="K43" s="1">
        <v>3.75</v>
      </c>
    </row>
    <row r="44" spans="2:11" x14ac:dyDescent="0.3">
      <c r="G44" s="4" t="s">
        <v>13</v>
      </c>
      <c r="H44" s="1">
        <v>43.523809523809526</v>
      </c>
      <c r="J44" s="4" t="s">
        <v>13</v>
      </c>
      <c r="K44" s="1">
        <v>6.5</v>
      </c>
    </row>
    <row r="45" spans="2:11" x14ac:dyDescent="0.3">
      <c r="G45" s="4" t="s">
        <v>14</v>
      </c>
      <c r="H45" s="1">
        <v>29.5</v>
      </c>
      <c r="J45" s="4" t="s">
        <v>14</v>
      </c>
      <c r="K45" s="1">
        <v>3</v>
      </c>
    </row>
    <row r="46" spans="2:11" x14ac:dyDescent="0.3">
      <c r="G46" s="4" t="s">
        <v>15</v>
      </c>
      <c r="H46" s="1">
        <v>38.07692307692308</v>
      </c>
      <c r="J46" s="4" t="s">
        <v>15</v>
      </c>
      <c r="K46" s="1">
        <v>4.5</v>
      </c>
    </row>
    <row r="47" spans="2:11" x14ac:dyDescent="0.3">
      <c r="G47" s="4" t="s">
        <v>16</v>
      </c>
      <c r="H47" s="1">
        <v>35.846153846153847</v>
      </c>
      <c r="J47" s="4" t="s">
        <v>16</v>
      </c>
      <c r="K47" s="1">
        <v>6</v>
      </c>
    </row>
    <row r="48" spans="2:11" x14ac:dyDescent="0.3">
      <c r="G48" s="4" t="s">
        <v>17</v>
      </c>
      <c r="H48" s="1">
        <v>32.625</v>
      </c>
      <c r="J48" s="4" t="s">
        <v>17</v>
      </c>
      <c r="K48" s="1">
        <v>5.2</v>
      </c>
    </row>
    <row r="49" spans="7:11" x14ac:dyDescent="0.3">
      <c r="G49" s="4" t="s">
        <v>18</v>
      </c>
      <c r="H49" s="1">
        <v>39.200000000000003</v>
      </c>
      <c r="J49" s="4" t="s">
        <v>18</v>
      </c>
      <c r="K49" s="1">
        <v>4.4000000000000004</v>
      </c>
    </row>
    <row r="50" spans="7:11" x14ac:dyDescent="0.3">
      <c r="G50" s="4" t="s">
        <v>19</v>
      </c>
      <c r="H50" s="1">
        <v>35.28</v>
      </c>
      <c r="J50" s="4" t="s">
        <v>19</v>
      </c>
      <c r="K50" s="1">
        <v>3.4545454545454546</v>
      </c>
    </row>
    <row r="51" spans="7:11" x14ac:dyDescent="0.3">
      <c r="G51" s="4" t="s">
        <v>20</v>
      </c>
      <c r="H51" s="1">
        <v>32.549999999999997</v>
      </c>
      <c r="J51" s="4" t="s">
        <v>20</v>
      </c>
      <c r="K51" s="1">
        <v>4.4000000000000004</v>
      </c>
    </row>
    <row r="52" spans="7:11" x14ac:dyDescent="0.3">
      <c r="G52" s="4" t="s">
        <v>21</v>
      </c>
      <c r="H52" s="1">
        <v>35.642857142857146</v>
      </c>
      <c r="J52" s="4" t="s">
        <v>21</v>
      </c>
      <c r="K52" s="1">
        <v>5.833333333333333</v>
      </c>
    </row>
    <row r="53" spans="7:11" x14ac:dyDescent="0.3">
      <c r="G53" s="4" t="s">
        <v>22</v>
      </c>
      <c r="H53" s="1">
        <v>38.764705882352942</v>
      </c>
      <c r="J53" s="4" t="s">
        <v>22</v>
      </c>
      <c r="K53" s="1">
        <v>4.4444444444444446</v>
      </c>
    </row>
    <row r="54" spans="7:11" x14ac:dyDescent="0.3">
      <c r="G54" s="4" t="s">
        <v>23</v>
      </c>
      <c r="H54" s="1">
        <v>39.9</v>
      </c>
      <c r="J54" s="4" t="s">
        <v>23</v>
      </c>
      <c r="K54" s="1">
        <v>5.333333333333333</v>
      </c>
    </row>
    <row r="55" spans="7:11" x14ac:dyDescent="0.3">
      <c r="G55" s="4" t="s">
        <v>24</v>
      </c>
      <c r="H55" s="1">
        <v>41.6</v>
      </c>
      <c r="J55" s="4" t="s">
        <v>24</v>
      </c>
      <c r="K55" s="1">
        <v>5.333333333333333</v>
      </c>
    </row>
    <row r="56" spans="7:11" x14ac:dyDescent="0.3">
      <c r="G56" s="4" t="s">
        <v>25</v>
      </c>
      <c r="H56" s="1">
        <v>39.470588235294116</v>
      </c>
      <c r="J56" s="4" t="s">
        <v>25</v>
      </c>
      <c r="K56" s="1">
        <v>5.5714285714285712</v>
      </c>
    </row>
    <row r="57" spans="7:11" x14ac:dyDescent="0.3">
      <c r="G57" s="4" t="s">
        <v>26</v>
      </c>
      <c r="H57" s="1">
        <v>27.733333333333334</v>
      </c>
      <c r="J57" s="4" t="s">
        <v>26</v>
      </c>
      <c r="K57" s="1">
        <v>5</v>
      </c>
    </row>
    <row r="58" spans="7:11" x14ac:dyDescent="0.3">
      <c r="G58" s="4" t="s">
        <v>27</v>
      </c>
      <c r="H58" s="1">
        <v>36.875</v>
      </c>
      <c r="J58" s="4" t="s">
        <v>27</v>
      </c>
      <c r="K58" s="1">
        <v>6.4</v>
      </c>
    </row>
    <row r="59" spans="7:11" x14ac:dyDescent="0.3">
      <c r="G59" s="4" t="s">
        <v>28</v>
      </c>
      <c r="H59" s="1">
        <v>40.333333333333336</v>
      </c>
      <c r="J59" s="4" t="s">
        <v>28</v>
      </c>
      <c r="K59" s="1">
        <v>5.333333333333333</v>
      </c>
    </row>
    <row r="60" spans="7:11" x14ac:dyDescent="0.3">
      <c r="G60" s="4" t="s">
        <v>29</v>
      </c>
      <c r="H60" s="1">
        <v>36.5</v>
      </c>
      <c r="J60" s="4" t="s">
        <v>29</v>
      </c>
      <c r="K60" s="1">
        <v>3.75</v>
      </c>
    </row>
    <row r="61" spans="7:11" x14ac:dyDescent="0.3">
      <c r="G61" s="4" t="s">
        <v>30</v>
      </c>
      <c r="H61" s="1">
        <v>32.866666666666667</v>
      </c>
      <c r="J61" s="4" t="s">
        <v>30</v>
      </c>
      <c r="K61" s="1">
        <v>6.333333333333333</v>
      </c>
    </row>
    <row r="62" spans="7:11" x14ac:dyDescent="0.3">
      <c r="G62" s="4" t="s">
        <v>31</v>
      </c>
      <c r="H62" s="1">
        <v>36.642857142857146</v>
      </c>
      <c r="J62" s="4" t="s">
        <v>31</v>
      </c>
      <c r="K62" s="1">
        <v>10</v>
      </c>
    </row>
    <row r="63" spans="7:11" x14ac:dyDescent="0.3">
      <c r="G63" s="4" t="s">
        <v>32</v>
      </c>
      <c r="H63" s="1">
        <v>36.5625</v>
      </c>
      <c r="J63" s="4" t="s">
        <v>32</v>
      </c>
      <c r="K63" s="1">
        <v>5</v>
      </c>
    </row>
    <row r="64" spans="7:11" x14ac:dyDescent="0.3">
      <c r="G64" s="4" t="s">
        <v>33</v>
      </c>
      <c r="H64" s="1">
        <v>32.15</v>
      </c>
      <c r="J64" s="4" t="s">
        <v>33</v>
      </c>
      <c r="K64" s="1">
        <v>5.333333333333333</v>
      </c>
    </row>
    <row r="65" spans="1:11" x14ac:dyDescent="0.3">
      <c r="G65" s="4" t="s">
        <v>34</v>
      </c>
      <c r="H65" s="1">
        <v>38.368421052631582</v>
      </c>
      <c r="J65" s="4" t="s">
        <v>34</v>
      </c>
      <c r="K65" s="1">
        <v>4.8</v>
      </c>
    </row>
    <row r="66" spans="1:11" x14ac:dyDescent="0.3">
      <c r="G66" s="4" t="s">
        <v>35</v>
      </c>
      <c r="H66" s="1">
        <v>33.071428571428569</v>
      </c>
      <c r="J66" s="4" t="s">
        <v>35</v>
      </c>
      <c r="K66" s="1">
        <v>5</v>
      </c>
    </row>
    <row r="67" spans="1:11" x14ac:dyDescent="0.3">
      <c r="G67" s="4" t="s">
        <v>36</v>
      </c>
      <c r="H67" s="1">
        <v>36.444444444444443</v>
      </c>
      <c r="J67" s="4" t="s">
        <v>36</v>
      </c>
      <c r="K67" s="1">
        <v>1.4</v>
      </c>
    </row>
    <row r="68" spans="1:11" x14ac:dyDescent="0.3">
      <c r="G68" s="4" t="s">
        <v>5</v>
      </c>
      <c r="H68" s="13">
        <v>36.323586744639378</v>
      </c>
      <c r="J68" s="4" t="s">
        <v>5</v>
      </c>
      <c r="K68" s="13">
        <v>4.9591836734693882</v>
      </c>
    </row>
    <row r="71" spans="1:11" x14ac:dyDescent="0.3">
      <c r="A71" s="3" t="s">
        <v>4</v>
      </c>
      <c r="B71" t="s">
        <v>40</v>
      </c>
      <c r="C71" t="s">
        <v>43</v>
      </c>
    </row>
    <row r="72" spans="1:11" x14ac:dyDescent="0.3">
      <c r="A72" s="4" t="s">
        <v>41</v>
      </c>
      <c r="B72" s="5">
        <v>269</v>
      </c>
      <c r="C72" s="6">
        <v>0.52436647173489281</v>
      </c>
    </row>
    <row r="73" spans="1:11" x14ac:dyDescent="0.3">
      <c r="A73" s="4" t="s">
        <v>42</v>
      </c>
      <c r="B73" s="5">
        <v>244</v>
      </c>
      <c r="C73" s="6">
        <v>0.47563352826510719</v>
      </c>
    </row>
    <row r="74" spans="1:11" x14ac:dyDescent="0.3">
      <c r="A74" s="4" t="s">
        <v>5</v>
      </c>
      <c r="B74" s="1">
        <v>513</v>
      </c>
      <c r="C74" s="6">
        <v>1</v>
      </c>
    </row>
    <row r="79" spans="1:11" s="9" customFormat="1" ht="12" customHeight="1" x14ac:dyDescent="0.25">
      <c r="A79" s="7" t="s">
        <v>44</v>
      </c>
      <c r="B79" s="7" t="s">
        <v>46</v>
      </c>
      <c r="C79" s="7" t="s">
        <v>45</v>
      </c>
      <c r="D79" s="7"/>
      <c r="E79" s="8"/>
      <c r="F79" s="8"/>
      <c r="G79" s="8"/>
    </row>
    <row r="80" spans="1:11" s="9" customFormat="1" ht="12" customHeight="1" x14ac:dyDescent="0.25">
      <c r="A80" s="10" t="str">
        <f>A73</f>
        <v>Not Admitted</v>
      </c>
      <c r="B80" s="11">
        <f>B73</f>
        <v>244</v>
      </c>
      <c r="C80" s="12">
        <f>C73</f>
        <v>0.47563352826510719</v>
      </c>
      <c r="D80" s="10"/>
      <c r="E80" s="8"/>
      <c r="F80" s="8"/>
      <c r="G80" s="8"/>
    </row>
    <row r="81" spans="1:7" s="9" customFormat="1" ht="12" customHeight="1" x14ac:dyDescent="0.25">
      <c r="A81" s="10" t="str">
        <f>A72</f>
        <v>Admitted</v>
      </c>
      <c r="B81" s="10">
        <f>B72</f>
        <v>269</v>
      </c>
      <c r="C81" s="12">
        <f>C72</f>
        <v>0.52436647173489281</v>
      </c>
      <c r="D81" s="10"/>
      <c r="E81" s="8"/>
      <c r="F81" s="8"/>
      <c r="G81" s="8"/>
    </row>
    <row r="86" spans="1:7" x14ac:dyDescent="0.3">
      <c r="A86" s="3" t="s">
        <v>4</v>
      </c>
      <c r="B86" t="s">
        <v>55</v>
      </c>
    </row>
    <row r="87" spans="1:7" x14ac:dyDescent="0.3">
      <c r="A87" s="4" t="s">
        <v>47</v>
      </c>
      <c r="B87" s="1">
        <v>76</v>
      </c>
    </row>
    <row r="88" spans="1:7" x14ac:dyDescent="0.3">
      <c r="A88" s="4" t="s">
        <v>48</v>
      </c>
      <c r="B88" s="1">
        <v>69</v>
      </c>
    </row>
    <row r="89" spans="1:7" x14ac:dyDescent="0.3">
      <c r="A89" s="4" t="s">
        <v>49</v>
      </c>
      <c r="B89" s="1">
        <v>64</v>
      </c>
    </row>
    <row r="90" spans="1:7" x14ac:dyDescent="0.3">
      <c r="A90" s="4" t="s">
        <v>50</v>
      </c>
      <c r="B90" s="1">
        <v>59</v>
      </c>
    </row>
    <row r="91" spans="1:7" x14ac:dyDescent="0.3">
      <c r="A91" s="4" t="s">
        <v>51</v>
      </c>
      <c r="B91" s="1">
        <v>58</v>
      </c>
    </row>
    <row r="92" spans="1:7" x14ac:dyDescent="0.3">
      <c r="A92" s="4" t="s">
        <v>52</v>
      </c>
      <c r="B92" s="1">
        <v>66</v>
      </c>
    </row>
    <row r="93" spans="1:7" x14ac:dyDescent="0.3">
      <c r="A93" s="4" t="s">
        <v>53</v>
      </c>
      <c r="B93" s="1">
        <v>67</v>
      </c>
    </row>
    <row r="94" spans="1:7" x14ac:dyDescent="0.3">
      <c r="A94" s="4" t="s">
        <v>54</v>
      </c>
      <c r="B94" s="1">
        <v>54</v>
      </c>
    </row>
    <row r="95" spans="1:7" x14ac:dyDescent="0.3">
      <c r="A95" s="4" t="s">
        <v>5</v>
      </c>
      <c r="B95" s="1">
        <v>513</v>
      </c>
    </row>
    <row r="102" spans="1:3" x14ac:dyDescent="0.3">
      <c r="A102" s="3" t="s">
        <v>4</v>
      </c>
      <c r="B102" t="s">
        <v>56</v>
      </c>
    </row>
    <row r="103" spans="1:3" x14ac:dyDescent="0.3">
      <c r="A103" s="4" t="s">
        <v>57</v>
      </c>
      <c r="B103" s="5">
        <v>241</v>
      </c>
    </row>
    <row r="104" spans="1:3" x14ac:dyDescent="0.3">
      <c r="A104" s="4" t="s">
        <v>58</v>
      </c>
      <c r="B104" s="5">
        <v>272</v>
      </c>
    </row>
    <row r="105" spans="1:3" x14ac:dyDescent="0.3">
      <c r="A105" s="4" t="s">
        <v>5</v>
      </c>
      <c r="B105" s="1">
        <v>513</v>
      </c>
    </row>
    <row r="109" spans="1:3" x14ac:dyDescent="0.3">
      <c r="B109" s="3" t="s">
        <v>4</v>
      </c>
      <c r="C109" t="s">
        <v>67</v>
      </c>
    </row>
    <row r="110" spans="1:3" x14ac:dyDescent="0.3">
      <c r="B110" s="4" t="s">
        <v>63</v>
      </c>
      <c r="C110" s="1">
        <v>299</v>
      </c>
    </row>
    <row r="111" spans="1:3" x14ac:dyDescent="0.3">
      <c r="B111" s="4" t="s">
        <v>61</v>
      </c>
      <c r="C111" s="1">
        <v>103</v>
      </c>
    </row>
    <row r="112" spans="1:3" x14ac:dyDescent="0.3">
      <c r="B112" s="4" t="s">
        <v>64</v>
      </c>
      <c r="C112" s="1">
        <v>65</v>
      </c>
    </row>
    <row r="113" spans="2:3" x14ac:dyDescent="0.3">
      <c r="B113" s="4" t="s">
        <v>65</v>
      </c>
      <c r="C113" s="1">
        <v>14</v>
      </c>
    </row>
    <row r="114" spans="2:3" x14ac:dyDescent="0.3">
      <c r="B114" s="4" t="s">
        <v>59</v>
      </c>
      <c r="C114" s="1">
        <v>14</v>
      </c>
    </row>
    <row r="115" spans="2:3" x14ac:dyDescent="0.3">
      <c r="B115" s="4" t="s">
        <v>62</v>
      </c>
      <c r="C115" s="1">
        <v>9</v>
      </c>
    </row>
    <row r="116" spans="2:3" x14ac:dyDescent="0.3">
      <c r="B116" s="4" t="s">
        <v>66</v>
      </c>
      <c r="C116" s="1">
        <v>5</v>
      </c>
    </row>
    <row r="117" spans="2:3" x14ac:dyDescent="0.3">
      <c r="B117" s="4" t="s">
        <v>60</v>
      </c>
      <c r="C117" s="1">
        <v>4</v>
      </c>
    </row>
    <row r="118" spans="2:3" x14ac:dyDescent="0.3">
      <c r="B118" s="4" t="s">
        <v>5</v>
      </c>
      <c r="C118" s="1">
        <v>513</v>
      </c>
    </row>
    <row r="121" spans="2:3" x14ac:dyDescent="0.3">
      <c r="B121" s="3" t="s">
        <v>4</v>
      </c>
    </row>
    <row r="122" spans="2:3" x14ac:dyDescent="0.3">
      <c r="B122" s="4" t="s">
        <v>68</v>
      </c>
    </row>
    <row r="123" spans="2:3" x14ac:dyDescent="0.3">
      <c r="B123" s="4" t="s">
        <v>5</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9CBF9-995A-4BE3-8C1C-B36BCECEF2C5}">
  <dimension ref="A1:Q27"/>
  <sheetViews>
    <sheetView tabSelected="1" zoomScaleNormal="100" workbookViewId="0"/>
  </sheetViews>
  <sheetFormatPr defaultRowHeight="14.4" x14ac:dyDescent="0.3"/>
  <sheetData>
    <row r="1" spans="1:17" x14ac:dyDescent="0.3">
      <c r="A1" s="2">
        <f>Dashboard!I18</f>
        <v>0</v>
      </c>
      <c r="B1" s="2"/>
      <c r="C1" s="2"/>
      <c r="D1" s="2"/>
      <c r="E1" s="2"/>
      <c r="F1" s="2"/>
      <c r="G1" s="2"/>
      <c r="H1" s="2"/>
      <c r="I1" s="2"/>
      <c r="J1" s="2"/>
      <c r="K1" s="2"/>
      <c r="L1" s="2"/>
      <c r="M1" s="2"/>
      <c r="N1" s="2"/>
      <c r="O1" s="2"/>
      <c r="P1" s="2"/>
      <c r="Q1" s="2"/>
    </row>
    <row r="2" spans="1:17" x14ac:dyDescent="0.3">
      <c r="A2" s="2"/>
      <c r="B2" s="2"/>
      <c r="C2" s="2"/>
      <c r="D2" s="2"/>
      <c r="E2" s="2"/>
      <c r="F2" s="2"/>
      <c r="G2" s="2"/>
      <c r="H2" s="2"/>
      <c r="I2" s="2"/>
      <c r="J2" s="2"/>
      <c r="K2" s="2"/>
      <c r="L2" s="2"/>
      <c r="M2" s="2"/>
      <c r="N2" s="2"/>
      <c r="O2" s="2"/>
      <c r="P2" s="2"/>
      <c r="Q2" s="2"/>
    </row>
    <row r="3" spans="1:17" x14ac:dyDescent="0.3">
      <c r="A3" s="2"/>
      <c r="B3" s="2"/>
      <c r="C3" s="2"/>
      <c r="D3" s="2"/>
      <c r="E3" s="2"/>
      <c r="F3" s="2"/>
      <c r="G3" s="2"/>
      <c r="H3" s="2"/>
      <c r="I3" s="2"/>
      <c r="J3" s="2"/>
      <c r="K3" s="2"/>
      <c r="L3" s="2"/>
      <c r="M3" s="2"/>
      <c r="N3" s="2"/>
      <c r="O3" s="2"/>
      <c r="P3" s="2"/>
      <c r="Q3" s="2"/>
    </row>
    <row r="4" spans="1:17" x14ac:dyDescent="0.3">
      <c r="A4" s="2"/>
      <c r="B4" s="2"/>
      <c r="C4" s="2"/>
      <c r="D4" s="2"/>
      <c r="E4" s="2"/>
      <c r="F4" s="2"/>
      <c r="G4" s="2"/>
      <c r="H4" s="2"/>
      <c r="I4" s="2"/>
      <c r="J4" s="2"/>
      <c r="K4" s="2"/>
      <c r="L4" s="2"/>
      <c r="M4" s="2"/>
      <c r="N4" s="2"/>
      <c r="O4" s="2"/>
      <c r="P4" s="2"/>
      <c r="Q4" s="2"/>
    </row>
    <row r="5" spans="1:17" x14ac:dyDescent="0.3">
      <c r="A5" s="2"/>
      <c r="B5" s="2"/>
      <c r="C5" s="2"/>
      <c r="D5" s="2"/>
      <c r="E5" s="2"/>
      <c r="F5" s="2"/>
      <c r="G5" s="2"/>
      <c r="H5" s="2"/>
      <c r="I5" s="2"/>
      <c r="J5" s="2"/>
      <c r="K5" s="2"/>
      <c r="L5" s="2"/>
      <c r="M5" s="2"/>
      <c r="N5" s="2"/>
      <c r="O5" s="2"/>
      <c r="P5" s="2"/>
      <c r="Q5" s="2"/>
    </row>
    <row r="6" spans="1:17" x14ac:dyDescent="0.3">
      <c r="A6" s="2"/>
      <c r="B6" s="2"/>
      <c r="C6" s="2"/>
      <c r="D6" s="2"/>
      <c r="E6" s="2"/>
      <c r="F6" s="2"/>
      <c r="G6" s="2"/>
      <c r="H6" s="2"/>
      <c r="I6" s="2"/>
      <c r="J6" s="2"/>
      <c r="K6" s="2"/>
      <c r="L6" s="2"/>
      <c r="M6" s="2"/>
      <c r="N6" s="2"/>
      <c r="O6" s="2"/>
      <c r="P6" s="2"/>
      <c r="Q6" s="2"/>
    </row>
    <row r="7" spans="1:17" x14ac:dyDescent="0.3">
      <c r="A7" s="2"/>
      <c r="B7" s="2"/>
      <c r="C7" s="2"/>
      <c r="D7" s="2"/>
      <c r="E7" s="2"/>
      <c r="F7" s="2"/>
      <c r="G7" s="2"/>
      <c r="H7" s="2"/>
      <c r="I7" s="2"/>
      <c r="J7" s="2"/>
      <c r="K7" s="2"/>
      <c r="L7" s="2"/>
      <c r="M7" s="2"/>
      <c r="N7" s="2"/>
      <c r="O7" s="2"/>
      <c r="P7" s="2"/>
      <c r="Q7" s="2"/>
    </row>
    <row r="8" spans="1:17" x14ac:dyDescent="0.3">
      <c r="A8" s="2"/>
      <c r="B8" s="2"/>
      <c r="C8" s="2"/>
      <c r="D8" s="2"/>
      <c r="E8" s="2"/>
      <c r="F8" s="2"/>
      <c r="G8" s="2"/>
      <c r="H8" s="2"/>
      <c r="I8" s="2"/>
      <c r="J8" s="2"/>
      <c r="K8" s="2"/>
      <c r="L8" s="2"/>
      <c r="M8" s="2"/>
      <c r="N8" s="2"/>
      <c r="O8" s="2"/>
      <c r="P8" s="2"/>
      <c r="Q8" s="2"/>
    </row>
    <row r="9" spans="1:17" x14ac:dyDescent="0.3">
      <c r="A9" s="2"/>
      <c r="B9" s="2"/>
      <c r="C9" s="2"/>
      <c r="D9" s="2"/>
      <c r="E9" s="2"/>
      <c r="F9" s="2"/>
      <c r="G9" s="2"/>
      <c r="H9" s="2"/>
      <c r="I9" s="2"/>
      <c r="J9" s="2"/>
      <c r="K9" s="2"/>
      <c r="L9" s="2"/>
      <c r="M9" s="2"/>
      <c r="N9" s="2"/>
      <c r="O9" s="2"/>
      <c r="P9" s="2"/>
      <c r="Q9" s="2"/>
    </row>
    <row r="10" spans="1:17" x14ac:dyDescent="0.3">
      <c r="A10" s="2"/>
      <c r="B10" s="2"/>
      <c r="C10" s="2"/>
      <c r="D10" s="2"/>
      <c r="E10" s="2"/>
      <c r="F10" s="2"/>
      <c r="G10" s="2"/>
      <c r="H10" s="2"/>
      <c r="I10" s="2"/>
      <c r="J10" s="2"/>
      <c r="K10" s="2"/>
      <c r="L10" s="2"/>
      <c r="M10" s="2"/>
      <c r="N10" s="2"/>
      <c r="O10" s="2"/>
      <c r="P10" s="2"/>
      <c r="Q10" s="2"/>
    </row>
    <row r="11" spans="1:17" x14ac:dyDescent="0.3">
      <c r="A11" s="2"/>
      <c r="B11" s="2"/>
      <c r="C11" s="2"/>
      <c r="D11" s="2"/>
      <c r="E11" s="2"/>
      <c r="F11" s="2"/>
      <c r="G11" s="2"/>
      <c r="H11" s="2"/>
      <c r="I11" s="2"/>
      <c r="J11" s="2"/>
      <c r="K11" s="2"/>
      <c r="L11" s="2"/>
      <c r="M11" s="2"/>
      <c r="N11" s="2"/>
      <c r="O11" s="2"/>
      <c r="P11" s="2"/>
      <c r="Q11" s="2"/>
    </row>
    <row r="12" spans="1:17" x14ac:dyDescent="0.3">
      <c r="A12" s="2"/>
      <c r="B12" s="2"/>
      <c r="C12" s="2"/>
      <c r="D12" s="2"/>
      <c r="E12" s="2"/>
      <c r="F12" s="2"/>
      <c r="G12" s="2"/>
      <c r="H12" s="2"/>
      <c r="I12" s="2"/>
      <c r="J12" s="2"/>
      <c r="K12" s="2"/>
      <c r="L12" s="2"/>
      <c r="M12" s="2"/>
      <c r="N12" s="2"/>
      <c r="O12" s="2"/>
      <c r="P12" s="2"/>
      <c r="Q12" s="2"/>
    </row>
    <row r="13" spans="1:17" x14ac:dyDescent="0.3">
      <c r="A13" s="2"/>
      <c r="B13" s="2"/>
      <c r="C13" s="2"/>
      <c r="D13" s="2"/>
      <c r="E13" s="2"/>
      <c r="F13" s="2"/>
      <c r="G13" s="2"/>
      <c r="H13" s="2"/>
      <c r="I13" s="2"/>
      <c r="J13" s="2"/>
      <c r="K13" s="2"/>
      <c r="L13" s="2"/>
      <c r="M13" s="2"/>
      <c r="N13" s="2"/>
      <c r="O13" s="2"/>
      <c r="P13" s="2"/>
      <c r="Q13" s="2"/>
    </row>
    <row r="14" spans="1:17" x14ac:dyDescent="0.3">
      <c r="A14" s="2"/>
      <c r="B14" s="2"/>
      <c r="C14" s="2"/>
      <c r="D14" s="2"/>
      <c r="E14" s="2"/>
      <c r="F14" s="2"/>
      <c r="G14" s="2"/>
      <c r="H14" s="2"/>
      <c r="I14" s="2"/>
      <c r="J14" s="2"/>
      <c r="K14" s="2"/>
      <c r="L14" s="2"/>
      <c r="M14" s="2"/>
      <c r="N14" s="2"/>
      <c r="O14" s="2"/>
      <c r="P14" s="2"/>
      <c r="Q14" s="2"/>
    </row>
    <row r="15" spans="1:17" x14ac:dyDescent="0.3">
      <c r="A15" s="2"/>
      <c r="B15" s="2"/>
      <c r="C15" s="2"/>
      <c r="D15" s="2"/>
      <c r="E15" s="2"/>
      <c r="F15" s="2"/>
      <c r="G15" s="2"/>
      <c r="H15" s="2"/>
      <c r="I15" s="2"/>
      <c r="J15" s="2"/>
      <c r="K15" s="2"/>
      <c r="L15" s="2"/>
      <c r="M15" s="2"/>
      <c r="N15" s="2"/>
      <c r="O15" s="2"/>
      <c r="P15" s="2"/>
      <c r="Q15" s="2"/>
    </row>
    <row r="16" spans="1:17" x14ac:dyDescent="0.3">
      <c r="A16" s="2"/>
      <c r="B16" s="2"/>
      <c r="C16" s="2"/>
      <c r="D16" s="2"/>
      <c r="E16" s="2"/>
      <c r="F16" s="2"/>
      <c r="G16" s="2"/>
      <c r="H16" s="2"/>
      <c r="I16" s="2"/>
      <c r="J16" s="2"/>
      <c r="K16" s="2"/>
      <c r="L16" s="2"/>
      <c r="M16" s="2"/>
      <c r="N16" s="2"/>
      <c r="O16" s="2"/>
      <c r="P16" s="2"/>
      <c r="Q16" s="2"/>
    </row>
    <row r="17" spans="1:17" x14ac:dyDescent="0.3">
      <c r="A17" s="2"/>
      <c r="B17" s="2"/>
      <c r="C17" s="2"/>
      <c r="D17" s="2"/>
      <c r="E17" s="2"/>
      <c r="F17" s="2"/>
      <c r="G17" s="2"/>
      <c r="H17" s="2"/>
      <c r="I17" s="2"/>
      <c r="J17" s="2"/>
      <c r="K17" s="2"/>
      <c r="L17" s="2"/>
      <c r="M17" s="2"/>
      <c r="N17" s="2"/>
      <c r="O17" s="2"/>
      <c r="P17" s="2"/>
      <c r="Q17" s="2"/>
    </row>
    <row r="18" spans="1:17" x14ac:dyDescent="0.3">
      <c r="A18" s="2"/>
      <c r="B18" s="2"/>
      <c r="C18" s="2"/>
      <c r="D18" s="2"/>
      <c r="E18" s="2"/>
      <c r="F18" s="2"/>
      <c r="G18" s="2"/>
      <c r="H18" s="2"/>
      <c r="I18" s="2"/>
      <c r="J18" s="2"/>
      <c r="K18" s="2"/>
      <c r="L18" s="2"/>
      <c r="M18" s="2"/>
      <c r="N18" s="2"/>
      <c r="O18" s="2"/>
      <c r="P18" s="2"/>
      <c r="Q18" s="2"/>
    </row>
    <row r="19" spans="1:17" x14ac:dyDescent="0.3">
      <c r="A19" s="2"/>
      <c r="B19" s="2"/>
      <c r="C19" s="2"/>
      <c r="D19" s="2"/>
      <c r="E19" s="2"/>
      <c r="F19" s="2"/>
      <c r="G19" s="2"/>
      <c r="H19" s="2"/>
      <c r="I19" s="2"/>
      <c r="J19" s="2"/>
      <c r="K19" s="2"/>
      <c r="L19" s="2"/>
      <c r="M19" s="2"/>
      <c r="N19" s="2"/>
      <c r="O19" s="2"/>
      <c r="P19" s="2"/>
      <c r="Q19" s="2"/>
    </row>
    <row r="20" spans="1:17" x14ac:dyDescent="0.3">
      <c r="A20" s="2"/>
      <c r="B20" s="2"/>
      <c r="C20" s="2"/>
      <c r="D20" s="2"/>
      <c r="E20" s="2"/>
      <c r="F20" s="2"/>
      <c r="G20" s="2"/>
      <c r="H20" s="2"/>
      <c r="I20" s="2"/>
      <c r="J20" s="2"/>
      <c r="K20" s="2"/>
      <c r="L20" s="2"/>
      <c r="M20" s="2"/>
      <c r="N20" s="2"/>
      <c r="O20" s="2"/>
      <c r="P20" s="2"/>
      <c r="Q20" s="2"/>
    </row>
    <row r="21" spans="1:17" x14ac:dyDescent="0.3">
      <c r="A21" s="2"/>
      <c r="B21" s="2"/>
      <c r="C21" s="2"/>
      <c r="D21" s="2"/>
      <c r="E21" s="2"/>
      <c r="F21" s="2"/>
      <c r="G21" s="2"/>
      <c r="H21" s="2"/>
      <c r="I21" s="2"/>
      <c r="J21" s="2"/>
      <c r="K21" s="2"/>
      <c r="L21" s="2"/>
      <c r="M21" s="2"/>
      <c r="N21" s="2"/>
      <c r="O21" s="2"/>
      <c r="P21" s="2"/>
      <c r="Q21" s="2"/>
    </row>
    <row r="22" spans="1:17" x14ac:dyDescent="0.3">
      <c r="A22" s="2"/>
      <c r="B22" s="2"/>
      <c r="C22" s="2"/>
      <c r="D22" s="2"/>
      <c r="E22" s="2"/>
      <c r="F22" s="2"/>
      <c r="G22" s="2"/>
      <c r="H22" s="2"/>
      <c r="I22" s="2"/>
      <c r="J22" s="2"/>
      <c r="K22" s="2"/>
      <c r="L22" s="2"/>
      <c r="M22" s="2"/>
      <c r="N22" s="2"/>
      <c r="O22" s="2"/>
      <c r="P22" s="2"/>
      <c r="Q22" s="2"/>
    </row>
    <row r="23" spans="1:17" x14ac:dyDescent="0.3">
      <c r="A23" s="2"/>
      <c r="B23" s="2"/>
      <c r="C23" s="2"/>
      <c r="D23" s="2"/>
      <c r="E23" s="2"/>
      <c r="F23" s="2"/>
      <c r="G23" s="2"/>
      <c r="H23" s="2"/>
      <c r="I23" s="2"/>
      <c r="J23" s="2"/>
      <c r="K23" s="2"/>
      <c r="L23" s="2"/>
      <c r="M23" s="2"/>
      <c r="N23" s="2"/>
      <c r="O23" s="2"/>
      <c r="P23" s="2"/>
      <c r="Q23" s="2"/>
    </row>
    <row r="24" spans="1:17" x14ac:dyDescent="0.3">
      <c r="A24" s="2"/>
      <c r="B24" s="2"/>
      <c r="C24" s="2"/>
      <c r="D24" s="2"/>
      <c r="E24" s="2"/>
      <c r="F24" s="2"/>
      <c r="G24" s="2"/>
      <c r="H24" s="2"/>
      <c r="I24" s="2"/>
      <c r="J24" s="2"/>
      <c r="K24" s="2"/>
      <c r="L24" s="2"/>
      <c r="M24" s="2"/>
      <c r="N24" s="2"/>
      <c r="O24" s="2"/>
      <c r="P24" s="2"/>
      <c r="Q24" s="2"/>
    </row>
    <row r="25" spans="1:17" x14ac:dyDescent="0.3">
      <c r="A25" s="2"/>
      <c r="B25" s="2"/>
      <c r="C25" s="2"/>
      <c r="D25" s="2"/>
      <c r="E25" s="2"/>
      <c r="F25" s="2"/>
      <c r="G25" s="2"/>
      <c r="H25" s="2"/>
      <c r="I25" s="2"/>
      <c r="J25" s="2"/>
      <c r="K25" s="2"/>
      <c r="L25" s="2"/>
      <c r="M25" s="2"/>
      <c r="N25" s="2"/>
      <c r="O25" s="2"/>
      <c r="P25" s="2"/>
      <c r="Q25" s="2"/>
    </row>
    <row r="26" spans="1:17" x14ac:dyDescent="0.3">
      <c r="A26" s="2"/>
      <c r="B26" s="2"/>
      <c r="C26" s="2"/>
      <c r="D26" s="2"/>
      <c r="E26" s="2"/>
      <c r="F26" s="2"/>
      <c r="G26" s="2"/>
      <c r="H26" s="2"/>
      <c r="I26" s="2"/>
      <c r="J26" s="2"/>
      <c r="K26" s="2"/>
      <c r="L26" s="2"/>
      <c r="M26" s="2"/>
      <c r="N26" s="2"/>
      <c r="O26" s="2"/>
      <c r="P26" s="2"/>
      <c r="Q26" s="2"/>
    </row>
    <row r="27" spans="1:17" x14ac:dyDescent="0.3">
      <c r="A27" s="2"/>
      <c r="B27" s="2"/>
      <c r="C27" s="2"/>
      <c r="D27" s="2"/>
      <c r="E27" s="2"/>
      <c r="F27" s="2"/>
      <c r="G27" s="2"/>
      <c r="H27" s="2"/>
      <c r="I27" s="2"/>
      <c r="J27" s="2"/>
      <c r="K27" s="2"/>
      <c r="L27" s="2"/>
      <c r="M27" s="2"/>
      <c r="N27" s="2"/>
      <c r="O27" s="2"/>
      <c r="P27" s="2"/>
      <c r="Q27"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34502-DE12-4AC2-BD1E-4F95EFA5D4CC}">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756B7-F583-4A8A-B4AE-E5A97D0EB87C}">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8EE6-786F-458E-AC93-31F44B22A941}">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0CC55-80AB-4CB6-85B1-9CF76A88DA9D}">
  <dimension ref="A1"/>
  <sheetViews>
    <sheetView workbookViewId="0"/>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66DEA-B494-4D05-8E30-11AC6227337E}">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482FC40-9977-4413-807B-70B45B88EF4D}">
  <ds:schemaRefs/>
</ds:datastoreItem>
</file>

<file path=customXml/itemProps2.xml><?xml version="1.0" encoding="utf-8"?>
<ds:datastoreItem xmlns:ds="http://schemas.openxmlformats.org/officeDocument/2006/customXml" ds:itemID="{ADFA72E5-FDD3-42EF-8CBF-CE94B5D5B84E}">
  <ds:schemaRefs/>
</ds:datastoreItem>
</file>

<file path=customXml/itemProps3.xml><?xml version="1.0" encoding="utf-8"?>
<ds:datastoreItem xmlns:ds="http://schemas.openxmlformats.org/officeDocument/2006/customXml" ds:itemID="{6EE6255B-CB82-4C71-9D20-995EF8A91796}">
  <ds:schemaRefs/>
</ds:datastoreItem>
</file>

<file path=customXml/itemProps4.xml><?xml version="1.0" encoding="utf-8"?>
<ds:datastoreItem xmlns:ds="http://schemas.openxmlformats.org/officeDocument/2006/customXml" ds:itemID="{D6A619FB-8B07-4371-956E-020FC024957B}">
  <ds:schemaRefs/>
</ds:datastoreItem>
</file>

<file path=customXml/itemProps5.xml><?xml version="1.0" encoding="utf-8"?>
<ds:datastoreItem xmlns:ds="http://schemas.openxmlformats.org/officeDocument/2006/customXml" ds:itemID="{B7DABC09-60AB-41CE-A08B-7D8D55DB1D19}">
  <ds:schemaRefs/>
</ds:datastoreItem>
</file>

<file path=customXml/itemProps6.xml><?xml version="1.0" encoding="utf-8"?>
<ds:datastoreItem xmlns:ds="http://schemas.openxmlformats.org/officeDocument/2006/customXml" ds:itemID="{89EF1C90-CB3E-4E69-A900-FE51564CC736}">
  <ds:schemaRefs/>
</ds:datastoreItem>
</file>

<file path=customXml/itemProps7.xml><?xml version="1.0" encoding="utf-8"?>
<ds:datastoreItem xmlns:ds="http://schemas.openxmlformats.org/officeDocument/2006/customXml" ds:itemID="{ED4142F0-BA35-49F5-8A5B-32F5EC3912B3}">
  <ds:schemaRefs/>
</ds:datastoreItem>
</file>

<file path=customXml/itemProps8.xml><?xml version="1.0" encoding="utf-8"?>
<ds:datastoreItem xmlns:ds="http://schemas.openxmlformats.org/officeDocument/2006/customXml" ds:itemID="{5A4011C3-DACF-4DFC-8969-B590846C7A7F}">
  <ds:schemaRefs/>
</ds:datastoreItem>
</file>

<file path=customXml/itemProps9.xml><?xml version="1.0" encoding="utf-8"?>
<ds:datastoreItem xmlns:ds="http://schemas.openxmlformats.org/officeDocument/2006/customXml" ds:itemID="{61C46BB1-419F-4501-9DAB-41D0B4826D7E}">
  <ds:schemaRefs/>
</ds:datastoreItem>
</file>

<file path=customXml/itemProps10.xml><?xml version="1.0" encoding="utf-8"?>
<ds:datastoreItem xmlns:ds="http://schemas.openxmlformats.org/officeDocument/2006/customXml" ds:itemID="{1606A962-EE6D-4A48-831A-04E266B5D70D}">
  <ds:schemaRefs/>
</ds:datastoreItem>
</file>

<file path=customXml/itemProps11.xml><?xml version="1.0" encoding="utf-8"?>
<ds:datastoreItem xmlns:ds="http://schemas.openxmlformats.org/officeDocument/2006/customXml" ds:itemID="{E1B58735-C561-4967-8E05-6FEE60436ECB}">
  <ds:schemaRefs/>
</ds:datastoreItem>
</file>

<file path=customXml/itemProps12.xml><?xml version="1.0" encoding="utf-8"?>
<ds:datastoreItem xmlns:ds="http://schemas.openxmlformats.org/officeDocument/2006/customXml" ds:itemID="{D04A8B43-E02F-487C-929E-E3385997B9D7}">
  <ds:schemaRefs>
    <ds:schemaRef ds:uri="http://schemas.microsoft.com/DataMashup"/>
  </ds:schemaRefs>
</ds:datastoreItem>
</file>

<file path=customXml/itemProps13.xml><?xml version="1.0" encoding="utf-8"?>
<ds:datastoreItem xmlns:ds="http://schemas.openxmlformats.org/officeDocument/2006/customXml" ds:itemID="{ED2AB88B-43E0-4887-8D0B-2A2A01583D46}">
  <ds:schemaRefs/>
</ds:datastoreItem>
</file>

<file path=customXml/itemProps14.xml><?xml version="1.0" encoding="utf-8"?>
<ds:datastoreItem xmlns:ds="http://schemas.openxmlformats.org/officeDocument/2006/customXml" ds:itemID="{CBDC1A9D-2364-43C2-94EC-CE0FC822A787}">
  <ds:schemaRefs/>
</ds:datastoreItem>
</file>

<file path=customXml/itemProps15.xml><?xml version="1.0" encoding="utf-8"?>
<ds:datastoreItem xmlns:ds="http://schemas.openxmlformats.org/officeDocument/2006/customXml" ds:itemID="{1863CF21-9910-42E5-AB20-446E93DFC12B}">
  <ds:schemaRefs/>
</ds:datastoreItem>
</file>

<file path=customXml/itemProps16.xml><?xml version="1.0" encoding="utf-8"?>
<ds:datastoreItem xmlns:ds="http://schemas.openxmlformats.org/officeDocument/2006/customXml" ds:itemID="{18BF1966-E890-4B2E-854E-680980BB206B}">
  <ds:schemaRefs/>
</ds:datastoreItem>
</file>

<file path=customXml/itemProps17.xml><?xml version="1.0" encoding="utf-8"?>
<ds:datastoreItem xmlns:ds="http://schemas.openxmlformats.org/officeDocument/2006/customXml" ds:itemID="{281F3B34-128E-4D34-8B01-9E3D84852995}">
  <ds:schemaRefs/>
</ds:datastoreItem>
</file>

<file path=customXml/itemProps18.xml><?xml version="1.0" encoding="utf-8"?>
<ds:datastoreItem xmlns:ds="http://schemas.openxmlformats.org/officeDocument/2006/customXml" ds:itemID="{EB25491C-A19A-4449-B9D2-528C513B0F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Report</vt:lpstr>
      <vt:lpstr>Dashboard</vt:lpstr>
      <vt:lpstr>Department Refreal</vt:lpstr>
      <vt:lpstr>NO OF PATIENT AGE GROUP</vt:lpstr>
      <vt:lpstr>Satisfaction Score Daily Trend</vt:lpstr>
      <vt:lpstr>Average Wait Time</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kumar</dc:creator>
  <cp:lastModifiedBy>harshit kumar</cp:lastModifiedBy>
  <dcterms:created xsi:type="dcterms:W3CDTF">2026-06-11T10:04:17Z</dcterms:created>
  <dcterms:modified xsi:type="dcterms:W3CDTF">2026-07-08T05:48:57Z</dcterms:modified>
</cp:coreProperties>
</file>